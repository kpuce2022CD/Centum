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ey3\centum\Centum\document\"/>
    </mc:Choice>
  </mc:AlternateContent>
  <xr:revisionPtr revIDLastSave="0" documentId="13_ncr:1_{CAEA72EF-B7E6-4B9B-B5AC-B4D3C2A0F6BB}" xr6:coauthVersionLast="47" xr6:coauthVersionMax="47" xr10:uidLastSave="{00000000-0000-0000-0000-000000000000}"/>
  <bookViews>
    <workbookView xWindow="75" yWindow="60" windowWidth="27390" windowHeight="14220" activeTab="4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6" i="2" s="1"/>
  <c r="I7" i="2" s="1"/>
  <c r="I8" i="2" s="1"/>
  <c r="I4" i="2"/>
  <c r="F3" i="2"/>
  <c r="D3" i="2"/>
  <c r="I3" i="2" s="1"/>
</calcChain>
</file>

<file path=xl/sharedStrings.xml><?xml version="1.0" encoding="utf-8"?>
<sst xmlns="http://schemas.openxmlformats.org/spreadsheetml/2006/main" count="1276" uniqueCount="335">
  <si>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</si>
  <si>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</si>
  <si>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</si>
  <si>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</si>
  <si>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</si>
  <si>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</si>
  <si>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</si>
  <si>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</si>
  <si>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</si>
  <si>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</si>
  <si>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</si>
  <si>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</si>
  <si>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</si>
  <si>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</si>
  <si>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</si>
  <si>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</si>
  <si>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</si>
  <si>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</si>
  <si>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</si>
  <si>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</si>
  <si>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</si>
  <si>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</si>
  <si>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</si>
  <si>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</si>
  <si>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</si>
  <si>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</si>
  <si>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</si>
  <si>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</si>
  <si>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</si>
  <si>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</si>
  <si>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</si>
  <si>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</si>
  <si>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</si>
  <si>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</si>
  <si>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</si>
  <si>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</si>
  <si>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</si>
  <si>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</si>
  <si>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</si>
  <si>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</si>
  <si>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</si>
  <si>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</si>
  <si>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</si>
  <si>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</si>
  <si>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</si>
  <si>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</si>
  <si>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</si>
  <si>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</si>
  <si>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</si>
  <si>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</si>
  <si>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</si>
  <si>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</si>
  <si>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</si>
  <si>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</si>
  <si>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</si>
  <si>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</si>
  <si>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</si>
  <si>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</si>
  <si>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</si>
  <si>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</si>
  <si>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</si>
  <si>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</si>
  <si>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</si>
  <si>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</si>
  <si>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</si>
  <si>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</si>
  <si>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</si>
  <si>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</si>
  <si>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</si>
  <si>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</si>
  <si>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</si>
  <si>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</si>
  <si>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</si>
  <si>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</si>
  <si>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</si>
  <si>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</si>
  <si>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</si>
  <si>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</si>
  <si>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</si>
  <si>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</si>
  <si>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</si>
  <si>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</si>
  <si>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</si>
  <si>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</si>
  <si>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</si>
  <si>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</si>
  <si>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</si>
  <si>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</si>
  <si>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</si>
  <si>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</si>
  <si>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</si>
  <si>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</si>
  <si>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</si>
  <si>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</si>
  <si>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</si>
  <si>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</si>
  <si>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</si>
  <si>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</si>
  <si>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</si>
  <si>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</si>
  <si>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</si>
  <si>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</si>
  <si>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</si>
  <si>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</si>
  <si>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</si>
  <si>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</si>
  <si>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</si>
  <si>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</si>
  <si>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</si>
  <si>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</si>
  <si>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</si>
  <si>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</si>
  <si>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</si>
  <si>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</si>
  <si>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</si>
  <si>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</si>
  <si>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</si>
  <si>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</si>
  <si>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</si>
  <si>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</si>
  <si>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</si>
  <si>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</si>
  <si>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</si>
  <si>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</si>
  <si>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</si>
  <si>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</si>
  <si>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</si>
  <si>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</si>
  <si>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</si>
  <si>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</si>
  <si>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</si>
  <si>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</si>
  <si>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</si>
  <si>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</si>
  <si>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</si>
  <si>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</si>
  <si>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</si>
  <si>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</si>
  <si>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</si>
  <si>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</si>
  <si>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</si>
  <si>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</si>
  <si>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</si>
  <si>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</si>
  <si>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</si>
  <si>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</si>
  <si>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</si>
  <si>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</si>
  <si>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</si>
  <si>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</si>
  <si>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</si>
  <si>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</si>
  <si>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</si>
  <si>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</si>
  <si>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</si>
  <si>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</si>
  <si>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</si>
  <si>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</si>
  <si>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</si>
  <si>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</si>
  <si>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</si>
  <si>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</si>
  <si>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</si>
  <si>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</si>
  <si>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</si>
  <si>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</si>
  <si>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</si>
  <si>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</si>
  <si>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</si>
  <si>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</si>
  <si>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</si>
  <si>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</si>
  <si>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</si>
  <si>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</si>
  <si>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</si>
  <si>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</si>
  <si>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</si>
  <si>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</si>
  <si>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</si>
  <si>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</si>
  <si>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</si>
  <si>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</si>
  <si>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</si>
  <si>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</si>
  <si>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</si>
  <si>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</si>
  <si>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</si>
  <si>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</si>
  <si>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</si>
  <si>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</si>
  <si>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</si>
  <si>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</si>
  <si>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</si>
  <si>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</si>
  <si>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</si>
  <si>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</si>
  <si>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</si>
  <si>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</si>
  <si>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</si>
  <si>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</si>
  <si>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</si>
  <si>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</si>
  <si>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</si>
  <si>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</si>
  <si>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</si>
  <si>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</si>
  <si>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</si>
  <si>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</si>
  <si>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</si>
  <si>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</si>
  <si>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</si>
  <si>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</si>
  <si>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</si>
  <si>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</si>
  <si>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</si>
  <si>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</si>
  <si>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</si>
  <si>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</si>
  <si>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</si>
  <si>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</si>
  <si>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</si>
  <si>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</si>
  <si>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</si>
  <si>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</si>
  <si>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</si>
  <si>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</si>
  <si>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</si>
  <si>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</si>
  <si>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</si>
  <si>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</si>
  <si>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</si>
  <si>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</si>
  <si>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</si>
  <si>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</si>
  <si>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</si>
  <si>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</si>
  <si>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</si>
  <si>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</si>
  <si>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</si>
  <si>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</si>
  <si>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</si>
  <si>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</si>
  <si>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</si>
  <si>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</si>
  <si>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</si>
  <si>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</si>
  <si>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</si>
  <si>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</si>
  <si>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</si>
  <si>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</si>
  <si>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</si>
  <si>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</si>
  <si>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</si>
  <si>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</si>
  <si>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</si>
  <si>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</si>
  <si>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</si>
  <si>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</si>
  <si>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</si>
  <si>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</si>
  <si>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</si>
  <si>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</si>
  <si>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</si>
  <si>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</si>
  <si>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</si>
  <si>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</si>
  <si>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</si>
  <si>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</si>
  <si>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</si>
  <si>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</si>
  <si>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</si>
  <si>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</si>
  <si>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</si>
  <si>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</si>
  <si>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</si>
  <si>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</si>
  <si>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</si>
  <si>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</si>
  <si>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</si>
  <si>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</si>
  <si>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</si>
  <si>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</si>
  <si>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</si>
  <si>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</si>
  <si>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</si>
  <si>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</si>
  <si>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</si>
  <si>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</si>
  <si>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</si>
  <si>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</si>
  <si>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</si>
  <si>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</si>
  <si>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</si>
  <si>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</si>
  <si>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</si>
  <si>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</si>
  <si>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</si>
  <si>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</si>
  <si>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</si>
  <si>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</si>
  <si>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</si>
  <si>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</si>
  <si>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</si>
  <si>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</si>
  <si>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</si>
  <si>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</si>
  <si>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</si>
  <si>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</si>
  <si>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</si>
  <si>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</si>
  <si>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</si>
  <si>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</si>
  <si>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</si>
  <si>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</si>
  <si>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</si>
  <si>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</si>
  <si>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</si>
  <si>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</si>
  <si>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</si>
  <si>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</si>
  <si>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</si>
  <si>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</si>
  <si>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</si>
  <si>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</si>
  <si>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</si>
  <si>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</si>
  <si>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&lt;5</t>
  </si>
  <si>
    <t>R-062</t>
    <phoneticPr fontId="2" type="noConversion"/>
  </si>
  <si>
    <t>o</t>
  </si>
  <si>
    <t>v2.1</t>
    <phoneticPr fontId="2" type="noConversion"/>
  </si>
  <si>
    <t>개발기간(시)</t>
    <phoneticPr fontId="2" type="noConversion"/>
  </si>
  <si>
    <t>&lt;10</t>
  </si>
  <si>
    <t>&lt;25</t>
  </si>
  <si>
    <t>&lt;15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</si>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</sst>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 x14ac:knownFonts="1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4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4" fillId="0" borderId="28" xfId="0" applyFont="1" applyBorder="1" applyAlignment="1" applyProtection="1">
      <alignment horizontal="center" vertical="center"/>
      <protection locked="0"/>
    </xf>
    <xf numFmtId="0" fontId="4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4" fillId="0" borderId="28" xfId="0" applyNumberFormat="1" applyFont="1" applyBorder="1" applyAlignment="1" applyProtection="1">
      <alignment horizontal="center" vertical="center"/>
      <protection locked="0"/>
    </xf>
    <xf numFmtId="0" fontId="4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5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8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  <c:pt idx="1">
                  <c:v>44579</c:v>
                </c:pt>
                <c:pt idx="2">
                  <c:v>44580</c:v>
                </c:pt>
                <c:pt idx="3">
                  <c:v>44581</c:v>
                </c:pt>
                <c:pt idx="4">
                  <c:v>44585</c:v>
                </c:pt>
                <c:pt idx="5">
                  <c:v>44586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  <c:pt idx="1">
                  <c:v>57</c:v>
                </c:pt>
                <c:pt idx="2">
                  <c:v>56</c:v>
                </c:pt>
                <c:pt idx="3">
                  <c:v>54</c:v>
                </c:pt>
                <c:pt idx="4">
                  <c:v>52</c:v>
                </c:pt>
                <c:pt idx="5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5</xdr:row>
          <xdr:rowOff>38100</xdr:rowOff>
        </xdr:from>
        <xdr:to>
          <xdr:col>5</xdr:col>
          <xdr:colOff>771525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10</xdr:row>
          <xdr:rowOff>38100</xdr:rowOff>
        </xdr:from>
        <xdr:to>
          <xdr:col>5</xdr:col>
          <xdr:colOff>1685925</xdr:colOff>
          <xdr:row>11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13</xdr:row>
          <xdr:rowOff>38100</xdr:rowOff>
        </xdr:from>
        <xdr:to>
          <xdr:col>6</xdr:col>
          <xdr:colOff>1628775</xdr:colOff>
          <xdr:row>14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13</xdr:row>
          <xdr:rowOff>38100</xdr:rowOff>
        </xdr:from>
        <xdr:to>
          <xdr:col>5</xdr:col>
          <xdr:colOff>1685925</xdr:colOff>
          <xdr:row>14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2</xdr:row>
          <xdr:rowOff>104775</xdr:rowOff>
        </xdr:from>
        <xdr:to>
          <xdr:col>11</xdr:col>
          <xdr:colOff>828675</xdr:colOff>
          <xdr:row>4</xdr:row>
          <xdr:rowOff>142875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4676775</xdr:colOff>
          <xdr:row>0</xdr:row>
          <xdr:rowOff>123825</xdr:rowOff>
        </xdr:from>
        <xdr:to>
          <xdr:col>8</xdr:col>
          <xdr:colOff>533400</xdr:colOff>
          <xdr:row>2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topLeftCell="A57" zoomScale="70" zoomScaleNormal="70" workbookViewId="0">
      <selection activeCell="G76" sqref="G76"/>
    </sheetView>
  </sheetViews>
  <sheetFormatPr defaultColWidth="10.6640625" defaultRowHeight="17.25" x14ac:dyDescent="0.3"/>
  <cols>
    <col min="1" max="1" width="5.6640625" style="13" customWidth="1"/>
    <col min="2" max="2" width="10.6640625" style="13"/>
    <col min="3" max="3" width="8.6640625" style="13" customWidth="1"/>
    <col min="4" max="5" width="10.6640625" style="13"/>
    <col min="6" max="6" width="20.6640625" style="13" customWidth="1"/>
    <col min="7" max="7" width="80.6640625" style="13" customWidth="1"/>
    <col min="8" max="8" width="50.6640625" style="13" customWidth="1"/>
    <col min="9" max="9" width="10.6640625" style="13"/>
    <col min="10" max="10" width="12.6640625" style="14" customWidth="1"/>
    <col min="11" max="13" width="3.6640625" style="13" customWidth="1"/>
    <col min="14" max="14" width="6.6640625" style="13" customWidth="1"/>
    <col min="15" max="15" width="8.5546875" style="13" bestFit="1" customWidth="1"/>
    <col min="16" max="16384" width="10.6640625" style="35"/>
  </cols>
  <sheetData>
    <row r="1" spans="1:15" ht="18" customHeight="1" x14ac:dyDescent="0.3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 x14ac:dyDescent="0.3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 x14ac:dyDescent="0.3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 x14ac:dyDescent="0.3">
      <c r="A4" s="18" t="s">
        <v>31</v>
      </c>
      <c r="B4" s="17" t="s">
        <v>329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 x14ac:dyDescent="0.3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 x14ac:dyDescent="0.3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 x14ac:dyDescent="0.3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 x14ac:dyDescent="0.3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4.5" x14ac:dyDescent="0.3">
      <c r="A9" s="37"/>
      <c r="B9" s="22" t="s">
        <v>44</v>
      </c>
      <c r="C9" s="37"/>
      <c r="D9" s="22" t="s">
        <v>241</v>
      </c>
      <c r="E9" s="22" t="s">
        <v>142</v>
      </c>
      <c r="F9" s="22" t="s">
        <v>317</v>
      </c>
      <c r="G9" s="26" t="s">
        <v>313</v>
      </c>
      <c r="H9" s="26" t="s">
        <v>315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 x14ac:dyDescent="0.3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 x14ac:dyDescent="0.3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 x14ac:dyDescent="0.3">
      <c r="A12" s="97"/>
      <c r="B12" s="97"/>
      <c r="C12" s="97"/>
      <c r="D12" s="97"/>
      <c r="E12" s="22" t="s">
        <v>327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 x14ac:dyDescent="0.3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 x14ac:dyDescent="0.3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 x14ac:dyDescent="0.3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 x14ac:dyDescent="0.3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 x14ac:dyDescent="0.3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 x14ac:dyDescent="0.3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 x14ac:dyDescent="0.3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 t="s">
        <v>334</v>
      </c>
    </row>
    <row r="22" spans="1:15" x14ac:dyDescent="0.3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 x14ac:dyDescent="0.3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 x14ac:dyDescent="0.3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4.5" x14ac:dyDescent="0.3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 t="s">
        <v>334</v>
      </c>
    </row>
    <row r="26" spans="1:15" x14ac:dyDescent="0.3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 x14ac:dyDescent="0.3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 x14ac:dyDescent="0.3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 x14ac:dyDescent="0.3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 t="s">
        <v>334</v>
      </c>
    </row>
    <row r="30" spans="1:15" x14ac:dyDescent="0.3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 t="s">
        <v>334</v>
      </c>
    </row>
    <row r="31" spans="1:15" x14ac:dyDescent="0.3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 t="s">
        <v>334</v>
      </c>
    </row>
    <row r="32" spans="1:15" ht="34.5" x14ac:dyDescent="0.3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 t="s">
        <v>334</v>
      </c>
    </row>
    <row r="33" spans="1:15" x14ac:dyDescent="0.3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277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 x14ac:dyDescent="0.3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 x14ac:dyDescent="0.3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51.75" x14ac:dyDescent="0.3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69" x14ac:dyDescent="0.3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 x14ac:dyDescent="0.3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 x14ac:dyDescent="0.3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 x14ac:dyDescent="0.3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4.5" x14ac:dyDescent="0.3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 x14ac:dyDescent="0.3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4.5" x14ac:dyDescent="0.3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279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 x14ac:dyDescent="0.3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4.5" x14ac:dyDescent="0.3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 x14ac:dyDescent="0.3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1.75" x14ac:dyDescent="0.3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4.5" x14ac:dyDescent="0.3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4.5" x14ac:dyDescent="0.3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 x14ac:dyDescent="0.3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03.5" x14ac:dyDescent="0.3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 x14ac:dyDescent="0.3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 x14ac:dyDescent="0.3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 x14ac:dyDescent="0.3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 x14ac:dyDescent="0.3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 x14ac:dyDescent="0.3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 x14ac:dyDescent="0.3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 x14ac:dyDescent="0.3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289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 x14ac:dyDescent="0.3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299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4.5" x14ac:dyDescent="0.3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 x14ac:dyDescent="0.3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 x14ac:dyDescent="0.3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267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 t="s">
        <v>334</v>
      </c>
    </row>
    <row r="63" spans="1:15" x14ac:dyDescent="0.3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 x14ac:dyDescent="0.3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328</v>
      </c>
      <c r="N64" s="56" t="s">
        <v>43</v>
      </c>
      <c r="O64" s="58" t="s">
        <v>334</v>
      </c>
    </row>
    <row r="65" spans="1:15" x14ac:dyDescent="0.3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 t="s">
        <v>334</v>
      </c>
    </row>
    <row r="66" spans="1:15" ht="51.75" x14ac:dyDescent="0.3">
      <c r="A66" s="29">
        <v>46</v>
      </c>
      <c r="B66" s="25" t="s">
        <v>44</v>
      </c>
      <c r="C66" s="25" t="s">
        <v>243</v>
      </c>
      <c r="D66" s="25" t="s">
        <v>47</v>
      </c>
      <c r="E66" s="25" t="s">
        <v>88</v>
      </c>
      <c r="F66" s="25" t="s">
        <v>278</v>
      </c>
      <c r="G66" s="31" t="s">
        <v>281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1.75" x14ac:dyDescent="0.3">
      <c r="A67" s="29">
        <v>47</v>
      </c>
      <c r="B67" s="25" t="s">
        <v>13</v>
      </c>
      <c r="C67" s="25" t="s">
        <v>311</v>
      </c>
      <c r="D67" s="25" t="s">
        <v>47</v>
      </c>
      <c r="E67" s="25" t="s">
        <v>88</v>
      </c>
      <c r="F67" s="25" t="s">
        <v>300</v>
      </c>
      <c r="G67" s="25" t="s">
        <v>302</v>
      </c>
      <c r="H67" s="31" t="s">
        <v>291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 x14ac:dyDescent="0.3">
      <c r="A68" s="29">
        <v>48</v>
      </c>
      <c r="B68" s="25" t="s">
        <v>44</v>
      </c>
      <c r="C68" s="25" t="s">
        <v>288</v>
      </c>
      <c r="D68" s="25" t="s">
        <v>47</v>
      </c>
      <c r="E68" s="25" t="s">
        <v>142</v>
      </c>
      <c r="F68" s="25" t="s">
        <v>283</v>
      </c>
      <c r="G68" s="25" t="s">
        <v>284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 x14ac:dyDescent="0.3">
      <c r="A69" s="29">
        <v>49</v>
      </c>
      <c r="B69" s="25" t="s">
        <v>44</v>
      </c>
      <c r="C69" s="25" t="s">
        <v>292</v>
      </c>
      <c r="D69" s="25" t="s">
        <v>47</v>
      </c>
      <c r="E69" s="25" t="s">
        <v>142</v>
      </c>
      <c r="F69" s="25" t="s">
        <v>286</v>
      </c>
      <c r="G69" s="25" t="s">
        <v>287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4.5" x14ac:dyDescent="0.3">
      <c r="A70" s="29">
        <v>50</v>
      </c>
      <c r="B70" s="25" t="s">
        <v>209</v>
      </c>
      <c r="C70" s="25" t="s">
        <v>244</v>
      </c>
      <c r="D70" s="25" t="s">
        <v>241</v>
      </c>
      <c r="E70" s="25" t="s">
        <v>48</v>
      </c>
      <c r="F70" s="25" t="s">
        <v>242</v>
      </c>
      <c r="G70" s="25" t="s">
        <v>245</v>
      </c>
      <c r="H70" s="31" t="s">
        <v>246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4.5" x14ac:dyDescent="0.3">
      <c r="A71" s="29">
        <v>51</v>
      </c>
      <c r="B71" s="25" t="s">
        <v>26</v>
      </c>
      <c r="C71" s="25" t="s">
        <v>255</v>
      </c>
      <c r="D71" s="25" t="s">
        <v>15</v>
      </c>
      <c r="E71" s="25" t="s">
        <v>34</v>
      </c>
      <c r="F71" s="25" t="s">
        <v>249</v>
      </c>
      <c r="G71" s="31" t="s">
        <v>256</v>
      </c>
      <c r="H71" s="31" t="s">
        <v>247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4.5" x14ac:dyDescent="0.3">
      <c r="A72" s="29">
        <v>52</v>
      </c>
      <c r="B72" s="25" t="s">
        <v>209</v>
      </c>
      <c r="C72" s="25" t="s">
        <v>258</v>
      </c>
      <c r="D72" s="25" t="s">
        <v>241</v>
      </c>
      <c r="E72" s="25" t="s">
        <v>48</v>
      </c>
      <c r="F72" s="25" t="s">
        <v>248</v>
      </c>
      <c r="G72" s="31" t="s">
        <v>250</v>
      </c>
      <c r="H72" s="31" t="s">
        <v>251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4.5" x14ac:dyDescent="0.3">
      <c r="A73" s="29">
        <v>53</v>
      </c>
      <c r="B73" s="25" t="s">
        <v>209</v>
      </c>
      <c r="C73" s="25" t="s">
        <v>263</v>
      </c>
      <c r="D73" s="25" t="s">
        <v>241</v>
      </c>
      <c r="E73" s="25" t="s">
        <v>35</v>
      </c>
      <c r="F73" s="25" t="s">
        <v>252</v>
      </c>
      <c r="G73" s="25" t="s">
        <v>253</v>
      </c>
      <c r="H73" s="31" t="s">
        <v>254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1.75" x14ac:dyDescent="0.3">
      <c r="A74" s="29">
        <v>54</v>
      </c>
      <c r="B74" s="25" t="s">
        <v>209</v>
      </c>
      <c r="C74" s="25" t="s">
        <v>266</v>
      </c>
      <c r="D74" s="25" t="s">
        <v>241</v>
      </c>
      <c r="E74" s="25" t="s">
        <v>49</v>
      </c>
      <c r="F74" s="25" t="s">
        <v>260</v>
      </c>
      <c r="G74" s="25" t="s">
        <v>261</v>
      </c>
      <c r="H74" s="31" t="s">
        <v>262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1.75" x14ac:dyDescent="0.3">
      <c r="A75" s="29">
        <v>55</v>
      </c>
      <c r="B75" s="25" t="s">
        <v>209</v>
      </c>
      <c r="C75" s="25" t="s">
        <v>269</v>
      </c>
      <c r="D75" s="25" t="s">
        <v>241</v>
      </c>
      <c r="E75" s="25" t="s">
        <v>88</v>
      </c>
      <c r="F75" s="25" t="s">
        <v>257</v>
      </c>
      <c r="G75" s="25" t="s">
        <v>259</v>
      </c>
      <c r="H75" s="31" t="s">
        <v>296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69" x14ac:dyDescent="0.3">
      <c r="A76" s="29">
        <v>56</v>
      </c>
      <c r="B76" s="25" t="s">
        <v>209</v>
      </c>
      <c r="C76" s="25" t="s">
        <v>275</v>
      </c>
      <c r="D76" s="25" t="s">
        <v>241</v>
      </c>
      <c r="E76" s="25" t="s">
        <v>88</v>
      </c>
      <c r="F76" s="25" t="s">
        <v>264</v>
      </c>
      <c r="G76" s="25" t="s">
        <v>265</v>
      </c>
      <c r="H76" s="31" t="s">
        <v>294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4.5" x14ac:dyDescent="0.3">
      <c r="A77" s="29">
        <v>57</v>
      </c>
      <c r="B77" s="25" t="s">
        <v>209</v>
      </c>
      <c r="C77" s="25" t="s">
        <v>282</v>
      </c>
      <c r="D77" s="25" t="s">
        <v>241</v>
      </c>
      <c r="E77" s="25" t="s">
        <v>88</v>
      </c>
      <c r="F77" s="25" t="s">
        <v>270</v>
      </c>
      <c r="G77" s="25" t="s">
        <v>268</v>
      </c>
      <c r="H77" s="31" t="s">
        <v>274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4.5" x14ac:dyDescent="0.3">
      <c r="A78" s="29">
        <v>58</v>
      </c>
      <c r="B78" s="25" t="s">
        <v>209</v>
      </c>
      <c r="C78" s="25" t="s">
        <v>285</v>
      </c>
      <c r="D78" s="25" t="s">
        <v>241</v>
      </c>
      <c r="E78" s="25" t="s">
        <v>88</v>
      </c>
      <c r="F78" s="25" t="s">
        <v>271</v>
      </c>
      <c r="G78" s="25" t="s">
        <v>272</v>
      </c>
      <c r="H78" s="31" t="s">
        <v>273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69" x14ac:dyDescent="0.3">
      <c r="A79" s="29">
        <v>59</v>
      </c>
      <c r="B79" s="25" t="s">
        <v>209</v>
      </c>
      <c r="C79" s="25" t="s">
        <v>303</v>
      </c>
      <c r="D79" s="25" t="s">
        <v>241</v>
      </c>
      <c r="E79" s="25" t="s">
        <v>88</v>
      </c>
      <c r="F79" s="25" t="s">
        <v>290</v>
      </c>
      <c r="G79" s="31" t="s">
        <v>308</v>
      </c>
      <c r="H79" s="31" t="s">
        <v>298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86.25" x14ac:dyDescent="0.3">
      <c r="A80" s="29">
        <v>60</v>
      </c>
      <c r="B80" s="25" t="s">
        <v>26</v>
      </c>
      <c r="C80" s="25" t="s">
        <v>310</v>
      </c>
      <c r="D80" s="25" t="s">
        <v>15</v>
      </c>
      <c r="E80" s="25" t="s">
        <v>18</v>
      </c>
      <c r="F80" s="31" t="s">
        <v>305</v>
      </c>
      <c r="G80" s="25" t="s">
        <v>309</v>
      </c>
      <c r="H80" s="31" t="s">
        <v>306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4.5" x14ac:dyDescent="0.3">
      <c r="A81" s="32">
        <v>61</v>
      </c>
      <c r="B81" s="24" t="s">
        <v>26</v>
      </c>
      <c r="C81" s="24" t="s">
        <v>318</v>
      </c>
      <c r="D81" s="24" t="s">
        <v>241</v>
      </c>
      <c r="E81" s="24" t="s">
        <v>142</v>
      </c>
      <c r="F81" s="24" t="s">
        <v>316</v>
      </c>
      <c r="G81" s="79" t="s">
        <v>313</v>
      </c>
      <c r="H81" s="79" t="s">
        <v>314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 t="s">
        <v>334</v>
      </c>
    </row>
    <row r="83" spans="1:15" x14ac:dyDescent="0.3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200025</xdr:colOff>
                    <xdr:row>5</xdr:row>
                    <xdr:rowOff>38100</xdr:rowOff>
                  </from>
                  <to>
                    <xdr:col>5</xdr:col>
                    <xdr:colOff>771525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161925</xdr:colOff>
                    <xdr:row>10</xdr:row>
                    <xdr:rowOff>38100</xdr:rowOff>
                  </from>
                  <to>
                    <xdr:col>5</xdr:col>
                    <xdr:colOff>1685925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FixReq">
                <anchor moveWithCells="1" sizeWithCells="1">
                  <from>
                    <xdr:col>6</xdr:col>
                    <xdr:colOff>104775</xdr:colOff>
                    <xdr:row>13</xdr:row>
                    <xdr:rowOff>38100</xdr:rowOff>
                  </from>
                  <to>
                    <xdr:col>6</xdr:col>
                    <xdr:colOff>1628775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LoadReq">
                <anchor moveWithCells="1" sizeWithCells="1">
                  <from>
                    <xdr:col>5</xdr:col>
                    <xdr:colOff>161925</xdr:colOff>
                    <xdr:row>13</xdr:row>
                    <xdr:rowOff>38100</xdr:rowOff>
                  </from>
                  <to>
                    <xdr:col>5</xdr:col>
                    <xdr:colOff>1685925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I12" sqref="I12"/>
    </sheetView>
  </sheetViews>
  <sheetFormatPr defaultColWidth="11.5546875" defaultRowHeight="17.25" x14ac:dyDescent="0.3"/>
  <cols>
    <col min="7" max="7" width="11.109375" style="66" bestFit="1" customWidth="1"/>
    <col min="8" max="9" width="10.6640625" style="65"/>
  </cols>
  <sheetData>
    <row r="1" spans="1:9" x14ac:dyDescent="0.3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 x14ac:dyDescent="0.3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 x14ac:dyDescent="0.3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10</v>
      </c>
      <c r="G3" s="66">
        <v>44572</v>
      </c>
      <c r="H3" s="65">
        <v>0</v>
      </c>
      <c r="I3" s="67">
        <f>reqCount-H3</f>
        <v>61</v>
      </c>
    </row>
    <row r="4" spans="1:9" x14ac:dyDescent="0.3">
      <c r="A4" s="4" t="s">
        <v>25</v>
      </c>
      <c r="B4" s="5" t="s">
        <v>14</v>
      </c>
      <c r="C4" s="6" t="s">
        <v>37</v>
      </c>
      <c r="G4" s="66">
        <v>44579</v>
      </c>
      <c r="H4" s="65">
        <v>4</v>
      </c>
      <c r="I4" s="67">
        <f>I3-H4</f>
        <v>57</v>
      </c>
    </row>
    <row r="5" spans="1:9" x14ac:dyDescent="0.3">
      <c r="A5" s="4" t="s">
        <v>26</v>
      </c>
      <c r="B5" s="8" t="s">
        <v>15</v>
      </c>
      <c r="C5" s="6" t="s">
        <v>18</v>
      </c>
      <c r="G5" s="66">
        <v>44580</v>
      </c>
      <c r="H5" s="65">
        <v>1</v>
      </c>
      <c r="I5" s="67">
        <f t="shared" ref="I5:I8" si="0">I4-H5</f>
        <v>56</v>
      </c>
    </row>
    <row r="6" spans="1:9" x14ac:dyDescent="0.3">
      <c r="A6" s="4" t="s">
        <v>27</v>
      </c>
      <c r="C6" s="6" t="s">
        <v>19</v>
      </c>
      <c r="G6" s="66">
        <v>44581</v>
      </c>
      <c r="H6" s="65">
        <v>2</v>
      </c>
      <c r="I6" s="67">
        <f t="shared" si="0"/>
        <v>54</v>
      </c>
    </row>
    <row r="7" spans="1:9" x14ac:dyDescent="0.3">
      <c r="A7" s="4" t="s">
        <v>196</v>
      </c>
      <c r="C7" s="6" t="s">
        <v>36</v>
      </c>
      <c r="G7" s="66">
        <v>44585</v>
      </c>
      <c r="H7" s="65">
        <v>2</v>
      </c>
      <c r="I7" s="67">
        <f t="shared" si="0"/>
        <v>52</v>
      </c>
    </row>
    <row r="8" spans="1:9" x14ac:dyDescent="0.3">
      <c r="A8" s="4" t="s">
        <v>197</v>
      </c>
      <c r="C8" s="6" t="s">
        <v>20</v>
      </c>
      <c r="G8" s="66">
        <v>44586</v>
      </c>
      <c r="H8" s="65">
        <v>1</v>
      </c>
      <c r="I8" s="67">
        <f t="shared" si="0"/>
        <v>51</v>
      </c>
    </row>
    <row r="9" spans="1:9" x14ac:dyDescent="0.3">
      <c r="A9" s="7" t="s">
        <v>28</v>
      </c>
      <c r="C9" s="6" t="s">
        <v>34</v>
      </c>
      <c r="I9" s="67"/>
    </row>
    <row r="10" spans="1:9" x14ac:dyDescent="0.3">
      <c r="C10" s="6" t="s">
        <v>35</v>
      </c>
      <c r="I10" s="67"/>
    </row>
    <row r="11" spans="1:9" x14ac:dyDescent="0.3">
      <c r="C11" s="9" t="s">
        <v>28</v>
      </c>
      <c r="I11" s="67"/>
    </row>
    <row r="12" spans="1:9" x14ac:dyDescent="0.3">
      <c r="I12" s="67"/>
    </row>
    <row r="13" spans="1:9" x14ac:dyDescent="0.3">
      <c r="I13" s="67"/>
    </row>
    <row r="14" spans="1:9" x14ac:dyDescent="0.3">
      <c r="I14" s="67"/>
    </row>
    <row r="15" spans="1:9" x14ac:dyDescent="0.3">
      <c r="I15" s="67"/>
    </row>
    <row r="16" spans="1:9" x14ac:dyDescent="0.3">
      <c r="I16" s="67"/>
    </row>
    <row r="17" spans="9:9" x14ac:dyDescent="0.3">
      <c r="I17" s="67"/>
    </row>
    <row r="18" spans="9:9" x14ac:dyDescent="0.3">
      <c r="I18" s="67"/>
    </row>
    <row r="19" spans="9:9" x14ac:dyDescent="0.3">
      <c r="I19" s="67"/>
    </row>
    <row r="20" spans="9:9" x14ac:dyDescent="0.3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opLeftCell="A10" workbookViewId="0">
      <selection activeCell="G29" sqref="G29"/>
    </sheetView>
  </sheetViews>
  <sheetFormatPr defaultColWidth="11.5546875" defaultRowHeight="17.25" x14ac:dyDescent="0.3"/>
  <cols>
    <col min="1" max="1" width="4.88671875" customWidth="1"/>
    <col min="2" max="2" width="11.6640625" customWidth="1"/>
    <col min="3" max="3" width="8.109375" customWidth="1"/>
    <col min="4" max="4" width="10" customWidth="1"/>
    <col min="5" max="5" width="14" customWidth="1"/>
    <col min="6" max="6" width="19.44140625" customWidth="1"/>
    <col min="7" max="7" width="77.6640625" customWidth="1"/>
    <col min="8" max="8" width="63.6640625" customWidth="1"/>
    <col min="9" max="9" width="7.5546875" customWidth="1"/>
    <col min="10" max="10" width="10.6640625" customWidth="1"/>
    <col min="11" max="11" width="11.33203125" bestFit="1" customWidth="1"/>
    <col min="12" max="18" width="10.6640625" customWidth="1"/>
  </cols>
  <sheetData>
    <row r="1" spans="1:14" ht="20.100000000000001" customHeight="1" x14ac:dyDescent="0.3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 x14ac:dyDescent="0.3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 x14ac:dyDescent="0.3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 x14ac:dyDescent="0.3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 x14ac:dyDescent="0.3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 x14ac:dyDescent="0.3">
      <c r="N6" s="41"/>
    </row>
    <row r="7" spans="1:14" x14ac:dyDescent="0.3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  <c r="N7" s="41"/>
    </row>
    <row r="8" spans="1:14" x14ac:dyDescent="0.3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 t="s">
        <v>328</v>
      </c>
      <c r="K8" s="65">
        <v>10</v>
      </c>
    </row>
    <row r="9" spans="1:14" x14ac:dyDescent="0.3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331</v>
      </c>
    </row>
    <row r="10" spans="1:14" x14ac:dyDescent="0.3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331</v>
      </c>
    </row>
    <row r="11" spans="1:14" x14ac:dyDescent="0.3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331</v>
      </c>
    </row>
    <row r="12" spans="1:14" ht="34.5" x14ac:dyDescent="0.3">
      <c r="A12" s="65">
        <v>5</v>
      </c>
      <c r="B12" s="65" t="s">
        <v>209</v>
      </c>
      <c r="C12" s="65" t="s">
        <v>244</v>
      </c>
      <c r="D12" s="65" t="s">
        <v>241</v>
      </c>
      <c r="E12" s="65" t="s">
        <v>48</v>
      </c>
      <c r="F12" s="65" t="s">
        <v>319</v>
      </c>
      <c r="G12" s="65" t="s">
        <v>245</v>
      </c>
      <c r="H12" s="68" t="s">
        <v>320</v>
      </c>
      <c r="I12" s="65" t="s">
        <v>41</v>
      </c>
      <c r="J12" s="65"/>
      <c r="K12" s="65" t="s">
        <v>331</v>
      </c>
    </row>
    <row r="13" spans="1:14" ht="34.5" x14ac:dyDescent="0.3">
      <c r="A13" s="65">
        <v>6</v>
      </c>
      <c r="B13" s="65" t="s">
        <v>209</v>
      </c>
      <c r="C13" s="65" t="s">
        <v>255</v>
      </c>
      <c r="D13" s="65" t="s">
        <v>241</v>
      </c>
      <c r="E13" s="65" t="s">
        <v>48</v>
      </c>
      <c r="F13" s="65" t="s">
        <v>321</v>
      </c>
      <c r="G13" s="68" t="s">
        <v>322</v>
      </c>
      <c r="H13" s="68" t="s">
        <v>323</v>
      </c>
      <c r="I13" s="65" t="s">
        <v>41</v>
      </c>
      <c r="J13" s="65"/>
      <c r="K13" s="65" t="s">
        <v>331</v>
      </c>
    </row>
    <row r="14" spans="1:14" ht="34.5" x14ac:dyDescent="0.3">
      <c r="A14" s="65">
        <v>7</v>
      </c>
      <c r="B14" s="65" t="s">
        <v>209</v>
      </c>
      <c r="C14" s="65" t="s">
        <v>258</v>
      </c>
      <c r="D14" s="65" t="s">
        <v>241</v>
      </c>
      <c r="E14" s="65" t="s">
        <v>48</v>
      </c>
      <c r="F14" s="65" t="s">
        <v>248</v>
      </c>
      <c r="G14" s="68" t="s">
        <v>324</v>
      </c>
      <c r="H14" s="68" t="s">
        <v>325</v>
      </c>
      <c r="I14" s="65" t="s">
        <v>41</v>
      </c>
      <c r="J14" s="65"/>
      <c r="K14" s="65" t="s">
        <v>331</v>
      </c>
    </row>
    <row r="15" spans="1:14" ht="34.5" x14ac:dyDescent="0.3">
      <c r="A15" s="65">
        <v>8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238</v>
      </c>
      <c r="I15" s="65" t="s">
        <v>41</v>
      </c>
      <c r="J15" s="65" t="s">
        <v>328</v>
      </c>
      <c r="K15" s="65">
        <v>5</v>
      </c>
    </row>
    <row r="16" spans="1:14" x14ac:dyDescent="0.3">
      <c r="A16" s="65">
        <v>9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326</v>
      </c>
    </row>
    <row r="17" spans="1:11" x14ac:dyDescent="0.3">
      <c r="A17" s="65">
        <v>10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326</v>
      </c>
    </row>
    <row r="18" spans="1:11" ht="34.5" x14ac:dyDescent="0.3">
      <c r="A18" s="65">
        <v>11</v>
      </c>
      <c r="B18" s="65" t="s">
        <v>209</v>
      </c>
      <c r="C18" s="65" t="s">
        <v>263</v>
      </c>
      <c r="D18" s="65" t="s">
        <v>241</v>
      </c>
      <c r="E18" s="65" t="s">
        <v>49</v>
      </c>
      <c r="F18" s="65" t="s">
        <v>252</v>
      </c>
      <c r="G18" s="65" t="s">
        <v>253</v>
      </c>
      <c r="H18" s="68" t="s">
        <v>254</v>
      </c>
      <c r="I18" s="65" t="s">
        <v>41</v>
      </c>
      <c r="J18" s="65"/>
      <c r="K18" s="65" t="s">
        <v>326</v>
      </c>
    </row>
    <row r="19" spans="1:11" ht="51.75" x14ac:dyDescent="0.3">
      <c r="A19" s="65">
        <v>12</v>
      </c>
      <c r="B19" s="65" t="s">
        <v>209</v>
      </c>
      <c r="C19" s="65" t="s">
        <v>266</v>
      </c>
      <c r="D19" s="65" t="s">
        <v>241</v>
      </c>
      <c r="E19" s="65" t="s">
        <v>49</v>
      </c>
      <c r="F19" s="65" t="s">
        <v>260</v>
      </c>
      <c r="G19" s="65" t="s">
        <v>261</v>
      </c>
      <c r="H19" s="68" t="s">
        <v>262</v>
      </c>
      <c r="I19" s="65" t="s">
        <v>41</v>
      </c>
      <c r="J19" s="65"/>
      <c r="K19" s="65" t="s">
        <v>326</v>
      </c>
    </row>
    <row r="20" spans="1:11" x14ac:dyDescent="0.3">
      <c r="A20" s="65">
        <v>13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5</v>
      </c>
    </row>
    <row r="21" spans="1:11" x14ac:dyDescent="0.3">
      <c r="A21" s="65">
        <v>14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 t="s">
        <v>328</v>
      </c>
      <c r="K21" s="65" t="s">
        <v>326</v>
      </c>
    </row>
    <row r="22" spans="1:11" x14ac:dyDescent="0.3">
      <c r="A22" s="65">
        <v>15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 t="s">
        <v>328</v>
      </c>
      <c r="K22" s="65" t="s">
        <v>326</v>
      </c>
    </row>
    <row r="23" spans="1:11" x14ac:dyDescent="0.3">
      <c r="A23" s="65">
        <v>16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 t="s">
        <v>328</v>
      </c>
      <c r="K23" s="65" t="s">
        <v>326</v>
      </c>
    </row>
    <row r="24" spans="1:11" ht="34.5" x14ac:dyDescent="0.3">
      <c r="A24" s="65">
        <v>17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 t="s">
        <v>328</v>
      </c>
      <c r="K24" s="65">
        <v>25</v>
      </c>
    </row>
    <row r="25" spans="1:11" ht="51.75" x14ac:dyDescent="0.3">
      <c r="A25" s="65">
        <v>18</v>
      </c>
      <c r="B25" s="65" t="s">
        <v>209</v>
      </c>
      <c r="C25" s="65" t="s">
        <v>269</v>
      </c>
      <c r="D25" s="65" t="s">
        <v>241</v>
      </c>
      <c r="E25" s="65" t="s">
        <v>88</v>
      </c>
      <c r="F25" s="65" t="s">
        <v>257</v>
      </c>
      <c r="G25" s="65" t="s">
        <v>259</v>
      </c>
      <c r="H25" s="68" t="s">
        <v>295</v>
      </c>
      <c r="I25" s="65" t="s">
        <v>41</v>
      </c>
      <c r="J25" s="65"/>
      <c r="K25" s="65" t="s">
        <v>332</v>
      </c>
    </row>
    <row r="26" spans="1:11" x14ac:dyDescent="0.3">
      <c r="A26" s="65">
        <v>19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276</v>
      </c>
      <c r="I26" s="65" t="s">
        <v>41</v>
      </c>
      <c r="J26" s="65"/>
      <c r="K26" s="65">
        <v>5</v>
      </c>
    </row>
    <row r="27" spans="1:11" ht="34.5" x14ac:dyDescent="0.3">
      <c r="A27" s="65">
        <v>20</v>
      </c>
      <c r="B27" s="65" t="s">
        <v>209</v>
      </c>
      <c r="C27" s="65" t="s">
        <v>282</v>
      </c>
      <c r="D27" s="65" t="s">
        <v>241</v>
      </c>
      <c r="E27" s="65" t="s">
        <v>88</v>
      </c>
      <c r="F27" s="65" t="s">
        <v>270</v>
      </c>
      <c r="G27" s="65" t="s">
        <v>268</v>
      </c>
      <c r="H27" s="68" t="s">
        <v>273</v>
      </c>
      <c r="I27" s="65" t="s">
        <v>41</v>
      </c>
      <c r="J27" s="65"/>
      <c r="K27" s="65" t="s">
        <v>326</v>
      </c>
    </row>
    <row r="28" spans="1:11" x14ac:dyDescent="0.3">
      <c r="A28" s="65">
        <v>21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5</v>
      </c>
    </row>
    <row r="29" spans="1:11" ht="34.5" x14ac:dyDescent="0.3">
      <c r="A29" s="65">
        <v>22</v>
      </c>
      <c r="B29" s="65" t="s">
        <v>209</v>
      </c>
      <c r="C29" s="65" t="s">
        <v>285</v>
      </c>
      <c r="D29" s="65" t="s">
        <v>241</v>
      </c>
      <c r="E29" s="65" t="s">
        <v>88</v>
      </c>
      <c r="F29" s="65" t="s">
        <v>271</v>
      </c>
      <c r="G29" s="65" t="s">
        <v>272</v>
      </c>
      <c r="H29" s="68" t="s">
        <v>273</v>
      </c>
      <c r="I29" s="65" t="s">
        <v>41</v>
      </c>
      <c r="J29" s="65"/>
      <c r="K29" s="65" t="s">
        <v>326</v>
      </c>
    </row>
    <row r="30" spans="1:11" x14ac:dyDescent="0.3">
      <c r="A30" s="65">
        <v>23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15</v>
      </c>
    </row>
    <row r="31" spans="1:11" ht="69" x14ac:dyDescent="0.3">
      <c r="A31" s="65">
        <v>24</v>
      </c>
      <c r="B31" s="65" t="s">
        <v>209</v>
      </c>
      <c r="C31" s="65" t="s">
        <v>275</v>
      </c>
      <c r="D31" s="65" t="s">
        <v>241</v>
      </c>
      <c r="E31" s="65" t="s">
        <v>88</v>
      </c>
      <c r="F31" s="65" t="s">
        <v>264</v>
      </c>
      <c r="G31" s="65" t="s">
        <v>265</v>
      </c>
      <c r="H31" s="68" t="s">
        <v>293</v>
      </c>
      <c r="I31" s="65" t="s">
        <v>41</v>
      </c>
      <c r="J31" s="65"/>
      <c r="K31" s="65" t="s">
        <v>333</v>
      </c>
    </row>
    <row r="32" spans="1:11" ht="51.75" x14ac:dyDescent="0.3">
      <c r="A32" s="65">
        <v>25</v>
      </c>
      <c r="B32" s="65" t="s">
        <v>44</v>
      </c>
      <c r="C32" s="65" t="s">
        <v>243</v>
      </c>
      <c r="D32" s="65" t="s">
        <v>47</v>
      </c>
      <c r="E32" s="65" t="s">
        <v>88</v>
      </c>
      <c r="F32" s="65" t="s">
        <v>278</v>
      </c>
      <c r="G32" s="68" t="s">
        <v>280</v>
      </c>
      <c r="H32" s="65"/>
      <c r="I32" s="65" t="s">
        <v>41</v>
      </c>
      <c r="J32" s="65"/>
      <c r="K32" s="65">
        <v>10</v>
      </c>
    </row>
    <row r="33" spans="1:11" ht="69" x14ac:dyDescent="0.3">
      <c r="A33" s="65">
        <v>26</v>
      </c>
      <c r="B33" s="65" t="s">
        <v>209</v>
      </c>
      <c r="C33" s="65" t="s">
        <v>303</v>
      </c>
      <c r="D33" s="65" t="s">
        <v>241</v>
      </c>
      <c r="E33" s="65" t="s">
        <v>88</v>
      </c>
      <c r="F33" s="65" t="s">
        <v>290</v>
      </c>
      <c r="G33" s="68" t="s">
        <v>307</v>
      </c>
      <c r="H33" s="68" t="s">
        <v>297</v>
      </c>
      <c r="I33" s="65" t="s">
        <v>41</v>
      </c>
      <c r="J33" s="65"/>
      <c r="K33" s="65" t="s">
        <v>331</v>
      </c>
    </row>
    <row r="34" spans="1:11" ht="51.75" x14ac:dyDescent="0.3">
      <c r="A34" s="65">
        <v>27</v>
      </c>
      <c r="B34" s="65" t="s">
        <v>44</v>
      </c>
      <c r="C34" s="65" t="s">
        <v>311</v>
      </c>
      <c r="D34" s="65" t="s">
        <v>47</v>
      </c>
      <c r="E34" s="65" t="s">
        <v>88</v>
      </c>
      <c r="F34" s="65" t="s">
        <v>300</v>
      </c>
      <c r="G34" s="65" t="s">
        <v>301</v>
      </c>
      <c r="H34" s="68" t="s">
        <v>291</v>
      </c>
      <c r="I34" s="65" t="s">
        <v>41</v>
      </c>
      <c r="J34" s="65"/>
      <c r="K34" s="65" t="s">
        <v>331</v>
      </c>
    </row>
    <row r="35" spans="1:11" ht="69" x14ac:dyDescent="0.3">
      <c r="A35" s="65">
        <v>28</v>
      </c>
      <c r="B35" s="65" t="s">
        <v>209</v>
      </c>
      <c r="C35" s="65" t="s">
        <v>310</v>
      </c>
      <c r="D35" s="65" t="s">
        <v>241</v>
      </c>
      <c r="E35" s="65" t="s">
        <v>88</v>
      </c>
      <c r="F35" s="68" t="s">
        <v>305</v>
      </c>
      <c r="G35" s="68" t="s">
        <v>309</v>
      </c>
      <c r="H35" s="68" t="s">
        <v>306</v>
      </c>
      <c r="I35" s="65" t="s">
        <v>41</v>
      </c>
      <c r="J35" s="65"/>
      <c r="K35" s="65" t="s">
        <v>331</v>
      </c>
    </row>
    <row r="36" spans="1:11" ht="34.5" x14ac:dyDescent="0.3">
      <c r="A36" s="65">
        <v>29</v>
      </c>
      <c r="B36" s="65" t="s">
        <v>209</v>
      </c>
      <c r="C36" s="65" t="s">
        <v>318</v>
      </c>
      <c r="D36" s="65" t="s">
        <v>241</v>
      </c>
      <c r="E36" s="65" t="s">
        <v>142</v>
      </c>
      <c r="F36" s="65" t="s">
        <v>316</v>
      </c>
      <c r="G36" s="68" t="s">
        <v>312</v>
      </c>
      <c r="H36" s="68" t="s">
        <v>314</v>
      </c>
      <c r="I36" s="65" t="s">
        <v>41</v>
      </c>
      <c r="J36" s="65" t="s">
        <v>328</v>
      </c>
      <c r="K36" s="65">
        <v>10</v>
      </c>
    </row>
    <row r="37" spans="1:11" x14ac:dyDescent="0.3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 t="s">
        <v>328</v>
      </c>
      <c r="K37" s="65">
        <v>0</v>
      </c>
    </row>
    <row r="38" spans="1:11" x14ac:dyDescent="0.3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 x14ac:dyDescent="0.3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 t="s">
        <v>328</v>
      </c>
      <c r="K39" s="65">
        <v>0</v>
      </c>
    </row>
    <row r="40" spans="1:11" x14ac:dyDescent="0.3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 t="s">
        <v>328</v>
      </c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104775</xdr:colOff>
                    <xdr:row>2</xdr:row>
                    <xdr:rowOff>104775</xdr:rowOff>
                  </from>
                  <to>
                    <xdr:col>11</xdr:col>
                    <xdr:colOff>828675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4676775</xdr:colOff>
                    <xdr:row>0</xdr:row>
                    <xdr:rowOff>123825</xdr:rowOff>
                  </from>
                  <to>
                    <xdr:col>8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topLeftCell="A31" zoomScale="70" zoomScaleNormal="70" workbookViewId="0">
      <selection activeCell="G16" sqref="G16"/>
    </sheetView>
  </sheetViews>
  <sheetFormatPr defaultColWidth="11.5546875" defaultRowHeight="17.25" x14ac:dyDescent="0.3"/>
  <cols>
    <col min="1" max="1" width="5.6640625" customWidth="1"/>
    <col min="2" max="2" width="12.44140625" customWidth="1"/>
    <col min="3" max="3" width="9.33203125" customWidth="1"/>
    <col min="4" max="4" width="11.109375" customWidth="1"/>
    <col min="5" max="5" width="14.109375" customWidth="1"/>
    <col min="6" max="6" width="24.109375" customWidth="1"/>
    <col min="7" max="7" width="82.6640625" customWidth="1"/>
    <col min="8" max="8" width="52.5546875" customWidth="1"/>
    <col min="9" max="9" width="6.88671875" bestFit="1" customWidth="1"/>
    <col min="11" max="11" width="11.33203125" bestFit="1" customWidth="1"/>
  </cols>
  <sheetData>
    <row r="1" spans="1:11" ht="18" customHeight="1" x14ac:dyDescent="0.3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 x14ac:dyDescent="0.3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 x14ac:dyDescent="0.3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 x14ac:dyDescent="0.3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 x14ac:dyDescent="0.3">
      <c r="A5" s="129"/>
      <c r="B5" s="130"/>
      <c r="C5" s="130"/>
      <c r="D5" s="130"/>
      <c r="E5" s="130"/>
      <c r="F5" s="130"/>
      <c r="G5" s="130"/>
      <c r="H5" s="130"/>
      <c r="I5" s="131"/>
    </row>
    <row r="7" spans="1:11" x14ac:dyDescent="0.3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330</v>
      </c>
    </row>
    <row r="8" spans="1:11" x14ac:dyDescent="0.3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 t="s">
        <v>328</v>
      </c>
      <c r="K8" s="65">
        <v>10</v>
      </c>
    </row>
    <row r="9" spans="1:11" x14ac:dyDescent="0.3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331</v>
      </c>
    </row>
    <row r="10" spans="1:11" x14ac:dyDescent="0.3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331</v>
      </c>
    </row>
    <row r="11" spans="1:11" x14ac:dyDescent="0.3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331</v>
      </c>
    </row>
    <row r="12" spans="1:11" ht="34.5" x14ac:dyDescent="0.3">
      <c r="A12" s="69">
        <v>5</v>
      </c>
      <c r="B12" s="70" t="s">
        <v>209</v>
      </c>
      <c r="C12" s="70" t="s">
        <v>244</v>
      </c>
      <c r="D12" s="70" t="s">
        <v>241</v>
      </c>
      <c r="E12" s="70" t="s">
        <v>48</v>
      </c>
      <c r="F12" s="70" t="s">
        <v>319</v>
      </c>
      <c r="G12" s="70" t="s">
        <v>245</v>
      </c>
      <c r="H12" s="71" t="s">
        <v>320</v>
      </c>
      <c r="I12" s="70" t="s">
        <v>41</v>
      </c>
      <c r="J12" s="73"/>
      <c r="K12" s="65" t="s">
        <v>331</v>
      </c>
    </row>
    <row r="13" spans="1:11" ht="34.5" x14ac:dyDescent="0.3">
      <c r="A13" s="69">
        <v>6</v>
      </c>
      <c r="B13" s="70" t="s">
        <v>209</v>
      </c>
      <c r="C13" s="70" t="s">
        <v>255</v>
      </c>
      <c r="D13" s="70" t="s">
        <v>241</v>
      </c>
      <c r="E13" s="70" t="s">
        <v>48</v>
      </c>
      <c r="F13" s="70" t="s">
        <v>321</v>
      </c>
      <c r="G13" s="71" t="s">
        <v>322</v>
      </c>
      <c r="H13" s="71" t="s">
        <v>323</v>
      </c>
      <c r="I13" s="70" t="s">
        <v>41</v>
      </c>
      <c r="J13" s="73"/>
      <c r="K13" s="65" t="s">
        <v>331</v>
      </c>
    </row>
    <row r="14" spans="1:11" ht="34.5" x14ac:dyDescent="0.3">
      <c r="A14" s="69">
        <v>7</v>
      </c>
      <c r="B14" s="70" t="s">
        <v>209</v>
      </c>
      <c r="C14" s="70" t="s">
        <v>258</v>
      </c>
      <c r="D14" s="70" t="s">
        <v>241</v>
      </c>
      <c r="E14" s="70" t="s">
        <v>48</v>
      </c>
      <c r="F14" s="70" t="s">
        <v>248</v>
      </c>
      <c r="G14" s="71" t="s">
        <v>324</v>
      </c>
      <c r="H14" s="71" t="s">
        <v>325</v>
      </c>
      <c r="I14" s="70" t="s">
        <v>41</v>
      </c>
      <c r="J14" s="73"/>
      <c r="K14" s="65" t="s">
        <v>331</v>
      </c>
    </row>
    <row r="15" spans="1:11" ht="34.5" x14ac:dyDescent="0.3">
      <c r="A15" s="69">
        <v>8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 t="s">
        <v>328</v>
      </c>
      <c r="K15" s="65">
        <v>5</v>
      </c>
    </row>
    <row r="16" spans="1:11" x14ac:dyDescent="0.3">
      <c r="A16" s="69">
        <v>9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326</v>
      </c>
    </row>
    <row r="17" spans="1:11" x14ac:dyDescent="0.3">
      <c r="A17" s="69">
        <v>10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326</v>
      </c>
    </row>
    <row r="18" spans="1:11" ht="34.5" x14ac:dyDescent="0.3">
      <c r="A18" s="69">
        <v>11</v>
      </c>
      <c r="B18" s="70" t="s">
        <v>209</v>
      </c>
      <c r="C18" s="70" t="s">
        <v>263</v>
      </c>
      <c r="D18" s="70" t="s">
        <v>241</v>
      </c>
      <c r="E18" s="70" t="s">
        <v>49</v>
      </c>
      <c r="F18" s="70" t="s">
        <v>252</v>
      </c>
      <c r="G18" s="70" t="s">
        <v>253</v>
      </c>
      <c r="H18" s="71" t="s">
        <v>254</v>
      </c>
      <c r="I18" s="70" t="s">
        <v>41</v>
      </c>
      <c r="J18" s="73"/>
      <c r="K18" s="65" t="s">
        <v>326</v>
      </c>
    </row>
    <row r="19" spans="1:11" ht="51.75" x14ac:dyDescent="0.3">
      <c r="A19" s="69">
        <v>12</v>
      </c>
      <c r="B19" s="70" t="s">
        <v>209</v>
      </c>
      <c r="C19" s="70" t="s">
        <v>266</v>
      </c>
      <c r="D19" s="70" t="s">
        <v>241</v>
      </c>
      <c r="E19" s="70" t="s">
        <v>49</v>
      </c>
      <c r="F19" s="70" t="s">
        <v>260</v>
      </c>
      <c r="G19" s="70" t="s">
        <v>261</v>
      </c>
      <c r="H19" s="71" t="s">
        <v>262</v>
      </c>
      <c r="I19" s="70" t="s">
        <v>41</v>
      </c>
      <c r="J19" s="73"/>
      <c r="K19" s="65" t="s">
        <v>326</v>
      </c>
    </row>
    <row r="20" spans="1:11" x14ac:dyDescent="0.3">
      <c r="A20" s="69">
        <v>13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5</v>
      </c>
    </row>
    <row r="21" spans="1:11" x14ac:dyDescent="0.3">
      <c r="A21" s="69">
        <v>14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 t="s">
        <v>328</v>
      </c>
      <c r="K21" s="65" t="s">
        <v>326</v>
      </c>
    </row>
    <row r="22" spans="1:11" x14ac:dyDescent="0.3">
      <c r="A22" s="69">
        <v>15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 t="s">
        <v>328</v>
      </c>
      <c r="K22" s="65" t="s">
        <v>326</v>
      </c>
    </row>
    <row r="23" spans="1:11" x14ac:dyDescent="0.3">
      <c r="A23" s="69">
        <v>16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 t="s">
        <v>328</v>
      </c>
      <c r="K23" s="65" t="s">
        <v>326</v>
      </c>
    </row>
    <row r="24" spans="1:11" ht="34.5" x14ac:dyDescent="0.3">
      <c r="A24" s="69">
        <v>17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 t="s">
        <v>328</v>
      </c>
      <c r="K24" s="65">
        <v>25</v>
      </c>
    </row>
    <row r="25" spans="1:11" ht="51.75" x14ac:dyDescent="0.3">
      <c r="A25" s="69">
        <v>18</v>
      </c>
      <c r="B25" s="70" t="s">
        <v>209</v>
      </c>
      <c r="C25" s="70" t="s">
        <v>269</v>
      </c>
      <c r="D25" s="70" t="s">
        <v>241</v>
      </c>
      <c r="E25" s="70" t="s">
        <v>88</v>
      </c>
      <c r="F25" s="70" t="s">
        <v>257</v>
      </c>
      <c r="G25" s="70" t="s">
        <v>259</v>
      </c>
      <c r="H25" s="71" t="s">
        <v>296</v>
      </c>
      <c r="I25" s="70" t="s">
        <v>41</v>
      </c>
      <c r="J25" s="73"/>
      <c r="K25" s="65" t="s">
        <v>332</v>
      </c>
    </row>
    <row r="26" spans="1:11" x14ac:dyDescent="0.3">
      <c r="A26" s="69">
        <v>19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277</v>
      </c>
      <c r="I26" s="69" t="s">
        <v>43</v>
      </c>
      <c r="J26" s="73"/>
      <c r="K26" s="65">
        <v>5</v>
      </c>
    </row>
    <row r="27" spans="1:11" ht="34.5" x14ac:dyDescent="0.3">
      <c r="A27" s="69">
        <v>20</v>
      </c>
      <c r="B27" s="70" t="s">
        <v>209</v>
      </c>
      <c r="C27" s="70" t="s">
        <v>282</v>
      </c>
      <c r="D27" s="70" t="s">
        <v>241</v>
      </c>
      <c r="E27" s="70" t="s">
        <v>88</v>
      </c>
      <c r="F27" s="70" t="s">
        <v>270</v>
      </c>
      <c r="G27" s="70" t="s">
        <v>268</v>
      </c>
      <c r="H27" s="71" t="s">
        <v>273</v>
      </c>
      <c r="I27" s="70" t="s">
        <v>41</v>
      </c>
      <c r="J27" s="73"/>
      <c r="K27" s="65" t="s">
        <v>326</v>
      </c>
    </row>
    <row r="28" spans="1:11" x14ac:dyDescent="0.3">
      <c r="A28" s="69">
        <v>21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5</v>
      </c>
    </row>
    <row r="29" spans="1:11" ht="34.5" x14ac:dyDescent="0.3">
      <c r="A29" s="69">
        <v>22</v>
      </c>
      <c r="B29" s="70" t="s">
        <v>209</v>
      </c>
      <c r="C29" s="70" t="s">
        <v>285</v>
      </c>
      <c r="D29" s="70" t="s">
        <v>241</v>
      </c>
      <c r="E29" s="70" t="s">
        <v>88</v>
      </c>
      <c r="F29" s="70" t="s">
        <v>271</v>
      </c>
      <c r="G29" s="70" t="s">
        <v>272</v>
      </c>
      <c r="H29" s="71" t="s">
        <v>273</v>
      </c>
      <c r="I29" s="70" t="s">
        <v>41</v>
      </c>
      <c r="J29" s="73"/>
      <c r="K29" s="65" t="s">
        <v>326</v>
      </c>
    </row>
    <row r="30" spans="1:11" x14ac:dyDescent="0.3">
      <c r="A30" s="69">
        <v>23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15</v>
      </c>
    </row>
    <row r="31" spans="1:11" ht="69" x14ac:dyDescent="0.3">
      <c r="A31" s="69">
        <v>24</v>
      </c>
      <c r="B31" s="70" t="s">
        <v>209</v>
      </c>
      <c r="C31" s="70" t="s">
        <v>275</v>
      </c>
      <c r="D31" s="70" t="s">
        <v>241</v>
      </c>
      <c r="E31" s="70" t="s">
        <v>88</v>
      </c>
      <c r="F31" s="70" t="s">
        <v>264</v>
      </c>
      <c r="G31" s="70" t="s">
        <v>265</v>
      </c>
      <c r="H31" s="71" t="s">
        <v>293</v>
      </c>
      <c r="I31" s="70" t="s">
        <v>41</v>
      </c>
      <c r="J31" s="73"/>
      <c r="K31" s="65" t="s">
        <v>333</v>
      </c>
    </row>
    <row r="32" spans="1:11" ht="51.75" x14ac:dyDescent="0.3">
      <c r="A32" s="69">
        <v>25</v>
      </c>
      <c r="B32" s="70" t="s">
        <v>44</v>
      </c>
      <c r="C32" s="70" t="s">
        <v>243</v>
      </c>
      <c r="D32" s="70" t="s">
        <v>47</v>
      </c>
      <c r="E32" s="70" t="s">
        <v>88</v>
      </c>
      <c r="F32" s="70" t="s">
        <v>278</v>
      </c>
      <c r="G32" s="71" t="s">
        <v>280</v>
      </c>
      <c r="H32" s="70"/>
      <c r="I32" s="70" t="s">
        <v>41</v>
      </c>
      <c r="J32" s="73"/>
      <c r="K32" s="65">
        <v>10</v>
      </c>
    </row>
    <row r="33" spans="1:11" ht="69" x14ac:dyDescent="0.3">
      <c r="A33" s="69">
        <v>26</v>
      </c>
      <c r="B33" s="70" t="s">
        <v>209</v>
      </c>
      <c r="C33" s="70" t="s">
        <v>303</v>
      </c>
      <c r="D33" s="70" t="s">
        <v>241</v>
      </c>
      <c r="E33" s="70" t="s">
        <v>88</v>
      </c>
      <c r="F33" s="70" t="s">
        <v>290</v>
      </c>
      <c r="G33" s="71" t="s">
        <v>307</v>
      </c>
      <c r="H33" s="71" t="s">
        <v>297</v>
      </c>
      <c r="I33" s="70" t="s">
        <v>41</v>
      </c>
      <c r="J33" s="73"/>
      <c r="K33" s="65" t="s">
        <v>331</v>
      </c>
    </row>
    <row r="34" spans="1:11" ht="51.75" x14ac:dyDescent="0.3">
      <c r="A34" s="69">
        <v>27</v>
      </c>
      <c r="B34" s="70" t="s">
        <v>44</v>
      </c>
      <c r="C34" s="70" t="s">
        <v>311</v>
      </c>
      <c r="D34" s="70" t="s">
        <v>47</v>
      </c>
      <c r="E34" s="70" t="s">
        <v>88</v>
      </c>
      <c r="F34" s="70" t="s">
        <v>300</v>
      </c>
      <c r="G34" s="70" t="s">
        <v>301</v>
      </c>
      <c r="H34" s="71" t="s">
        <v>291</v>
      </c>
      <c r="I34" s="70" t="s">
        <v>41</v>
      </c>
      <c r="J34" s="73"/>
      <c r="K34" s="65" t="s">
        <v>331</v>
      </c>
    </row>
    <row r="35" spans="1:11" ht="86.25" x14ac:dyDescent="0.3">
      <c r="A35" s="69">
        <v>28</v>
      </c>
      <c r="B35" s="70" t="s">
        <v>209</v>
      </c>
      <c r="C35" s="70" t="s">
        <v>310</v>
      </c>
      <c r="D35" s="70" t="s">
        <v>241</v>
      </c>
      <c r="E35" s="70" t="s">
        <v>88</v>
      </c>
      <c r="F35" s="71" t="s">
        <v>304</v>
      </c>
      <c r="G35" s="70" t="s">
        <v>309</v>
      </c>
      <c r="H35" s="71" t="s">
        <v>306</v>
      </c>
      <c r="I35" s="70" t="s">
        <v>41</v>
      </c>
      <c r="J35" s="73"/>
      <c r="K35" s="65" t="s">
        <v>331</v>
      </c>
    </row>
    <row r="36" spans="1:11" ht="34.5" x14ac:dyDescent="0.3">
      <c r="A36" s="69">
        <v>29</v>
      </c>
      <c r="B36" s="70" t="s">
        <v>209</v>
      </c>
      <c r="C36" s="70" t="s">
        <v>318</v>
      </c>
      <c r="D36" s="70" t="s">
        <v>241</v>
      </c>
      <c r="E36" s="70" t="s">
        <v>142</v>
      </c>
      <c r="F36" s="70" t="s">
        <v>316</v>
      </c>
      <c r="G36" s="71" t="s">
        <v>312</v>
      </c>
      <c r="H36" s="71" t="s">
        <v>314</v>
      </c>
      <c r="I36" s="69" t="s">
        <v>43</v>
      </c>
      <c r="J36" s="73" t="s">
        <v>328</v>
      </c>
      <c r="K36" s="65">
        <v>10</v>
      </c>
    </row>
    <row r="37" spans="1:11" x14ac:dyDescent="0.3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 t="s">
        <v>328</v>
      </c>
      <c r="K37" s="65">
        <v>0</v>
      </c>
    </row>
    <row r="38" spans="1:11" x14ac:dyDescent="0.3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 x14ac:dyDescent="0.3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 t="s">
        <v>328</v>
      </c>
      <c r="K39" s="65">
        <v>0</v>
      </c>
    </row>
    <row r="40" spans="1:11" x14ac:dyDescent="0.3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 t="s">
        <v>328</v>
      </c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tabSelected="1" zoomScale="70" zoomScaleNormal="70" workbookViewId="0">
      <selection activeCell="G30" sqref="G30"/>
    </sheetView>
  </sheetViews>
  <sheetFormatPr defaultColWidth="11.5546875" defaultRowHeight="17.25" x14ac:dyDescent="0.3"/>
  <cols>
    <col min="1" max="1" width="5.6640625" customWidth="1"/>
    <col min="2" max="2" width="12.44140625" customWidth="1"/>
    <col min="3" max="3" width="9.33203125" customWidth="1"/>
    <col min="4" max="4" width="11.109375" customWidth="1"/>
    <col min="5" max="5" width="14.109375" customWidth="1"/>
    <col min="6" max="6" width="24.109375" customWidth="1"/>
    <col min="7" max="7" width="82.6640625" customWidth="1"/>
    <col min="8" max="8" width="52.5546875" customWidth="1"/>
    <col min="9" max="9" width="6.88671875" bestFit="1" customWidth="1"/>
    <col min="11" max="11" width="11.33203125" bestFit="1" customWidth="1"/>
  </cols>
  <sheetData>
    <row r="1" spans="1:11" ht="18" customHeight="1" x14ac:dyDescent="0.3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 x14ac:dyDescent="0.3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 x14ac:dyDescent="0.3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 x14ac:dyDescent="0.3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 x14ac:dyDescent="0.3">
      <c r="A5" s="129"/>
      <c r="B5" s="130"/>
      <c r="C5" s="130"/>
      <c r="D5" s="130"/>
      <c r="E5" s="130"/>
      <c r="F5" s="130"/>
      <c r="G5" s="130"/>
      <c r="H5" s="130"/>
      <c r="I5" s="131"/>
    </row>
    <row r="7" spans="1:11" x14ac:dyDescent="0.3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defaultColWidth="11.5546875" defaultRowHeight="17.25" x14ac:dyDescent="0.3"/>
  <cols>
    <col min="1" max="1" width="5.6640625" customWidth="1"/>
    <col min="2" max="2" width="12.44140625" customWidth="1"/>
    <col min="3" max="3" width="9.33203125" customWidth="1"/>
    <col min="4" max="4" width="11.109375" customWidth="1"/>
    <col min="5" max="5" width="14.109375" customWidth="1"/>
    <col min="6" max="6" width="24.109375" customWidth="1"/>
    <col min="7" max="7" width="82.6640625" customWidth="1"/>
    <col min="8" max="8" width="52.5546875" customWidth="1"/>
    <col min="9" max="9" width="6.88671875" bestFit="1" customWidth="1"/>
    <col min="11" max="11" width="11.33203125" bestFit="1" customWidth="1"/>
  </cols>
  <sheetData>
    <row r="1" spans="1:11" ht="18" customHeight="1" x14ac:dyDescent="0.3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 x14ac:dyDescent="0.3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 x14ac:dyDescent="0.3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 x14ac:dyDescent="0.3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 x14ac:dyDescent="0.3">
      <c r="A5" s="129"/>
      <c r="B5" s="130"/>
      <c r="C5" s="130"/>
      <c r="D5" s="130"/>
      <c r="E5" s="130"/>
      <c r="F5" s="130"/>
      <c r="G5" s="130"/>
      <c r="H5" s="130"/>
      <c r="I5" s="131"/>
    </row>
    <row r="7" spans="1:11" x14ac:dyDescent="0.3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defaultColWidth="11.5546875" defaultRowHeight="17.25" x14ac:dyDescent="0.3"/>
  <cols>
    <col min="1" max="1" width="5.6640625" customWidth="1"/>
    <col min="2" max="2" width="12.44140625" customWidth="1"/>
    <col min="3" max="3" width="9.33203125" customWidth="1"/>
    <col min="4" max="4" width="11.109375" customWidth="1"/>
    <col min="5" max="5" width="14.109375" customWidth="1"/>
    <col min="6" max="6" width="24.109375" customWidth="1"/>
    <col min="7" max="7" width="82.6640625" customWidth="1"/>
    <col min="8" max="8" width="52.5546875" customWidth="1"/>
    <col min="9" max="9" width="6.88671875" bestFit="1" customWidth="1"/>
    <col min="11" max="11" width="11.33203125" bestFit="1" customWidth="1"/>
  </cols>
  <sheetData>
    <row r="1" spans="1:11" ht="18" customHeight="1" x14ac:dyDescent="0.3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 x14ac:dyDescent="0.3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 x14ac:dyDescent="0.3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 x14ac:dyDescent="0.3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 x14ac:dyDescent="0.3">
      <c r="A5" s="129"/>
      <c r="B5" s="130"/>
      <c r="C5" s="130"/>
      <c r="D5" s="130"/>
      <c r="E5" s="130"/>
      <c r="F5" s="130"/>
      <c r="G5" s="130"/>
      <c r="H5" s="130"/>
      <c r="I5" s="131"/>
    </row>
    <row r="7" spans="1:11" x14ac:dyDescent="0.3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eevee K</cp:lastModifiedBy>
  <dcterms:created xsi:type="dcterms:W3CDTF">2022-01-05T07:31:18Z</dcterms:created>
  <dcterms:modified xsi:type="dcterms:W3CDTF">2022-02-03T12:41:41Z</dcterms:modified>
</cp:coreProperties>
</file>