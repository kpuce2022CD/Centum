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B7394C1B-1875-9243-8AB3-246288D39366}" xr6:coauthVersionLast="47" xr6:coauthVersionMax="47" xr10:uidLastSave="{00000000-0000-0000-0000-000000000000}"/>
  <bookViews>
    <workbookView xWindow="0" yWindow="960" windowWidth="35840" windowHeight="21900" activeTab="2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D3" i="2"/>
  <c r="I3" i="2" s="1"/>
</calcChain>
</file>

<file path=xl/sharedStrings.xml><?xml version="1.0" encoding="utf-8"?>
<sst xmlns="http://schemas.openxmlformats.org/spreadsheetml/2006/main" count="1244" uniqueCount="336">
  <si>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</si>
  <si>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</si>
  <si>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</si>
  <si>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</si>
  <si>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</si>
  <si>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</si>
  <si>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</si>
  <si>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</si>
  <si>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</si>
  <si>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</si>
  <si>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</si>
  <si>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</si>
  <si>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</si>
  <si>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</si>
  <si>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</si>
  <si>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</si>
  <si>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</si>
  <si>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</si>
  <si>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</si>
  <si>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</si>
  <si>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</si>
  <si>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</si>
  <si>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</si>
  <si>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</si>
  <si>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</si>
  <si>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</si>
  <si>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</si>
  <si>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</si>
  <si>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</si>
  <si>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</si>
  <si>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</si>
  <si>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</si>
  <si>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</si>
  <si>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</si>
  <si>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</si>
  <si>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</si>
  <si>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</si>
  <si>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</si>
  <si>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</si>
  <si>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</si>
  <si>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</si>
  <si>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</si>
  <si>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</si>
  <si>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</si>
  <si>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</si>
  <si>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</si>
  <si>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</si>
  <si>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</si>
  <si>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</si>
  <si>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</si>
  <si>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</si>
  <si>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</si>
  <si>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</si>
  <si>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</si>
  <si>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</si>
  <si>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</si>
  <si>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</si>
  <si>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</si>
  <si>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</si>
  <si>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</si>
  <si>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</si>
  <si>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</si>
  <si>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</si>
  <si>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</si>
  <si>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</si>
  <si>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</si>
  <si>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</si>
  <si>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</si>
  <si>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</si>
  <si>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</si>
  <si>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</si>
  <si>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</si>
  <si>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</si>
  <si>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</si>
  <si>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</si>
  <si>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</si>
  <si>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</si>
  <si>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</si>
  <si>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</si>
  <si>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</si>
  <si>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</si>
  <si>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</si>
  <si>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</si>
  <si>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</si>
  <si>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</si>
  <si>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</si>
  <si>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</si>
  <si>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</si>
  <si>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</si>
  <si>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</si>
  <si>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</si>
  <si>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</si>
  <si>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</si>
  <si>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</si>
  <si>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</si>
  <si>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</si>
  <si>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</si>
  <si>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</si>
  <si>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</si>
  <si>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</si>
  <si>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</si>
  <si>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</si>
  <si>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</si>
  <si>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</si>
  <si>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</si>
  <si>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</si>
  <si>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</si>
  <si>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</si>
  <si>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</si>
  <si>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</si>
  <si>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</si>
  <si>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</si>
  <si>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</si>
  <si>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</si>
  <si>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</si>
  <si>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</si>
  <si>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</si>
  <si>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</si>
  <si>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</si>
  <si>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</si>
  <si>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</si>
  <si>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</si>
  <si>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</si>
  <si>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</si>
  <si>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</si>
  <si>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</si>
  <si>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</si>
  <si>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</si>
  <si>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</si>
  <si>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</si>
  <si>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</si>
  <si>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</si>
  <si>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</si>
  <si>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</si>
  <si>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</si>
  <si>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</si>
  <si>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</si>
  <si>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</si>
  <si>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</si>
  <si>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</si>
  <si>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</si>
  <si>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</si>
  <si>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</si>
  <si>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</si>
  <si>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</si>
  <si>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</si>
  <si>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</si>
  <si>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</si>
  <si>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</si>
  <si>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</si>
  <si>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</si>
  <si>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</si>
  <si>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</si>
  <si>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</si>
  <si>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</si>
  <si>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</si>
  <si>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</si>
  <si>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</si>
  <si>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</si>
  <si>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</si>
  <si>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</si>
  <si>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</si>
  <si>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</si>
  <si>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</si>
  <si>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</si>
  <si>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</si>
  <si>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</si>
  <si>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</si>
  <si>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</si>
  <si>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</si>
  <si>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</si>
  <si>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</si>
  <si>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</si>
  <si>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</si>
  <si>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</si>
  <si>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</si>
  <si>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</si>
  <si>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</si>
  <si>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</si>
  <si>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</si>
  <si>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</si>
  <si>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작성된 댓글에서 답글 버튼 클릭 시 답글을 작성할 수 있도록 함</t>
    <phoneticPr fontId="2" type="noConversion"/>
  </si>
  <si>
    <t>R-038</t>
  </si>
  <si>
    <t>게시글 추천 취소</t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</si>
  <si>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</si>
  <si>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</si>
  <si>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</si>
  <si>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</si>
  <si>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</si>
  <si>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</si>
  <si>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</si>
  <si>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</si>
  <si>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</si>
  <si>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</si>
  <si>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</si>
  <si>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</si>
  <si>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</si>
  <si>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</si>
  <si>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</si>
  <si>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</si>
  <si>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</si>
  <si>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</si>
  <si>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</si>
  <si>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</si>
  <si>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</si>
  <si>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</si>
  <si>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</si>
  <si>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</si>
  <si>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</si>
  <si>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</si>
  <si>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</si>
  <si>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</si>
  <si>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</si>
  <si>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</si>
  <si>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</si>
  <si>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</si>
  <si>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</si>
  <si>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</si>
  <si>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R-045</t>
  </si>
  <si>
    <t>사용자 정보, 패스워드 등은 소스코드에 직접 하드코딩하지 않음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</si>
  <si>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</si>
  <si>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</si>
  <si>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</si>
  <si>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</si>
  <si>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</si>
  <si>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</si>
  <si>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</si>
  <si>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</si>
  <si>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</si>
  <si>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</si>
  <si>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</si>
  <si>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</si>
  <si>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</si>
  <si>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</si>
  <si>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</si>
  <si>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</si>
  <si>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</si>
  <si>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</si>
  <si>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개발 기간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</si>
  <si>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</si>
  <si>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</si>
  <si>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개발기간(일)</t>
    <phoneticPr fontId="2" type="noConversion"/>
  </si>
  <si>
    <t>&lt;1</t>
  </si>
  <si>
    <t>&lt;1</t>
    <phoneticPr fontId="2" type="noConversion"/>
  </si>
  <si>
    <t>BACK</t>
  </si>
  <si>
    <t>로그인 데이터 처리</t>
    <phoneticPr fontId="2" type="noConversion"/>
  </si>
  <si>
    <t>R-046</t>
  </si>
  <si>
    <t>R-048</t>
  </si>
  <si>
    <t>입력된 로그인 정보를 DB 데이터와 비교하여 성공 여부를 반환하도록 함</t>
  </si>
  <si>
    <t>조회: 아이디, 비밀번호
출력: 성공여부</t>
    <phoneticPr fontId="2" type="noConversion"/>
  </si>
  <si>
    <t>조회: 이름, 이메일 -&gt; 아이디
출력: 성공여부</t>
    <phoneticPr fontId="2" type="noConversion"/>
  </si>
  <si>
    <t>비밀번호 찾기 DB 처리</t>
  </si>
  <si>
    <t>아이디 찾기 DB 처리</t>
    <phoneticPr fontId="2" type="noConversion"/>
  </si>
  <si>
    <t>입력된 아이디, 이름, 이메일을 DB의 데이터와 비교하여 성공 여부를 반환하고, 성공 시 해당 이메일로 비밀번호를 전송하도록 함</t>
    <phoneticPr fontId="2" type="noConversion"/>
  </si>
  <si>
    <t>조회: 아이디, 이름, 이메일 -&gt; 비밀번호
출력: 성공여부</t>
    <phoneticPr fontId="2" type="noConversion"/>
  </si>
  <si>
    <t>아이디 중복확인 처리</t>
  </si>
  <si>
    <t>입력된 아이디를 DB의 데이터와 비교하여 성공 여부를 반환</t>
  </si>
  <si>
    <t>조회: 아이디
출력: 성공여부(미 존재 시 성공)</t>
  </si>
  <si>
    <t>R-049</t>
  </si>
  <si>
    <t>입력된 이름, 이메일을 DB의 데이터와 비교하여 성공 여부를 반환하고, 성공 시 해당 이메일로 아이디를 전송하도록 함</t>
    <phoneticPr fontId="2" type="noConversion"/>
  </si>
  <si>
    <t>포트폴리오 데이터 입력</t>
  </si>
  <si>
    <t>R-050</t>
  </si>
  <si>
    <t>입력된 포트폴리오 정보를 DB에 입력하고 성공 여부를 반환</t>
  </si>
  <si>
    <t>회원 데이터 입력</t>
  </si>
  <si>
    <t>입력된 회원 정보를 DB에 입력하고 성공 여부를 반환</t>
  </si>
  <si>
    <t>입력: 아이디, 비밀번호, 이름, 닉네임, 전화번호, 이메일, 관심분야, 생년월일, 성별, (추가정보: github 주소)
출력: 성공여부</t>
  </si>
  <si>
    <t>R-051</t>
  </si>
  <si>
    <t>포트폴리오 목록 조회</t>
  </si>
  <si>
    <t>포트폴리오 페이지에서 포트폴리오 목록이 조회되도록 함</t>
  </si>
  <si>
    <t>R-052</t>
  </si>
  <si>
    <t>시스템 주제에 맞게 진취적인 느낌의 밝은 컬러를 사용하도록 함</t>
    <phoneticPr fontId="2" type="noConversion"/>
  </si>
  <si>
    <t>삭제하려는 작성자의 포트폴리오를 DB에서 삭제하고 성공여부를 반환</t>
  </si>
  <si>
    <t>R-053</t>
  </si>
  <si>
    <t>포트폴리오 데이터 삭제</t>
  </si>
  <si>
    <t>포트폴리오 데이터 수정</t>
  </si>
  <si>
    <t>수정된 포트폴리오를 입력받아 DB에서 해당 사용자를 조회하여 내용을 수정하고 성공여부를 반환</t>
  </si>
  <si>
    <t>조회: 작성자 id
출력: 성공여부</t>
  </si>
  <si>
    <t>조회: 작성자 id
출력: 성공여부</t>
    <phoneticPr fontId="2" type="noConversion"/>
  </si>
  <si>
    <t>R-054</t>
  </si>
  <si>
    <t>자신의 프로필에서도 포트폴리오를 삭제할 수 있도록 함</t>
  </si>
  <si>
    <t>자신의 프로필에서도 포트폴리오를 삭제할 수 있도록 함</t>
    <phoneticPr fontId="2" type="noConversion"/>
  </si>
  <si>
    <t>포트폴리오 추천</t>
  </si>
  <si>
    <t>게시글에서 추천 버튼 클릭 시 추천 수가 올라가도록 하며, 사용자는 한 게시글 당 1개의 추천만 할 수 있도록 함, 또 각 사용자는 각 게시글 마다 추천 여부를 확인할 수 있도록 함</t>
    <phoneticPr fontId="2" type="noConversion"/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</si>
  <si>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</si>
  <si>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  <phoneticPr fontId="2" type="noConversion"/>
  </si>
  <si>
    <t>R-055</t>
  </si>
  <si>
    <t>포트폴리오 추천 목록</t>
  </si>
  <si>
    <t>자신이 추천한 포트폴리오 목록을 확인할 수 있도록 함</t>
  </si>
  <si>
    <t>R-056</t>
  </si>
  <si>
    <t>게시글 스크랩 목록</t>
  </si>
  <si>
    <t>자신이 스크랩한 게시글 목록을 확인할 수 있도록 함</t>
  </si>
  <si>
    <t>R-057</t>
  </si>
  <si>
    <t>v2.0</t>
    <phoneticPr fontId="2" type="noConversion"/>
  </si>
  <si>
    <t>답글 수정</t>
    <phoneticPr fontId="2" type="noConversion"/>
  </si>
  <si>
    <t>포트폴리오 추천 처리</t>
  </si>
  <si>
    <t>조회: 사용자id -&gt; 포트폴리오 추천 수
처리: 추천 수 + 1
출력: 성공여부</t>
  </si>
  <si>
    <t>R-058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</si>
  <si>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</si>
  <si>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  <phoneticPr fontId="2" type="noConversion"/>
  </si>
  <si>
    <t>입력: 제목, 내용, 작성자, 공개여부
처리: 추천 수 0
출력: 성공여부</t>
  </si>
  <si>
    <t>입력: 제목, 내용, 작성자, 공개여부
처리: 추천 수 0
출력: 성공여부</t>
    <phoneticPr fontId="2" type="noConversion"/>
  </si>
  <si>
    <t>입력: 추천한 사용자
조회: 포트폴리오 작성자id -&gt; 포트폴리오 추천 수
처리: 추천 수 + 1
출력: 성공여부</t>
  </si>
  <si>
    <t>입력: 추천한 사용자
조회: 포트폴리오 작성자id -&gt; 포트폴리오 추천 수
처리: 추천 수 + 1
출력: 성공여부</t>
    <phoneticPr fontId="2" type="noConversion"/>
  </si>
  <si>
    <t>게시글에 추천이 되었을 때 다시 클릭하면 추천이 취소되도록 함</t>
    <phoneticPr fontId="2" type="noConversion"/>
  </si>
  <si>
    <t>포트폴리오 추천 취소</t>
  </si>
  <si>
    <t>포트폴리오에 추천이 되었을 때 다시 클릭하면 추천이 취소되도록 함</t>
  </si>
  <si>
    <t>포트폴리오에 추천이 되었을 때 다시 클릭하면 추천이 취소되도록 함</t>
    <phoneticPr fontId="2" type="noConversion"/>
  </si>
  <si>
    <t>R-059</t>
  </si>
  <si>
    <t>포트폴리오 추천 취소 처리</t>
  </si>
  <si>
    <t>포트폴리오 추천 취소 처리</t>
    <phoneticPr fontId="2" type="noConversion"/>
  </si>
  <si>
    <t>입력: 취소한 사용자
조회: 포트폴리오 작성자id -&gt; 포트폴리오 추천 수, 추천한 사용자
처리: 추천 수 + 1, 추천한 사용자 삭제
출력: 성공여부</t>
  </si>
  <si>
    <t>해당 사용자의 포트폴리오 추천 수를 1 증가시킨 후 추천한 사용자를 DB에 입력시키고 성공 여부를 반환</t>
  </si>
  <si>
    <t>해당 사용자의 포트폴리오 추천 수를 1 증가시킨 후 추천한 사용자를 DB에 입력시키고 성공 여부를 반환</t>
    <phoneticPr fontId="2" type="noConversion"/>
  </si>
  <si>
    <t>해당 사용자의 포트폴리오 추천 수를 1 감소시킨 후 추천한 사용자를 DB에서 삭제하고 성공 여부를 반환</t>
  </si>
  <si>
    <t>R-060</t>
  </si>
  <si>
    <t>R-047</t>
  </si>
  <si>
    <t>깃허브에서 허가 요청을 보내 연동 처리하며 연동이 완료된 사용자는 DB에 github 주소를 입력하고 성공여부를 반환</t>
  </si>
  <si>
    <t>깃허브에서 허가 요청을 보내 연동 처리하며 연동이 완료된 사용자는 DB에 github 주소를 입력하고 성공여부를 반환</t>
    <phoneticPr fontId="2" type="noConversion"/>
  </si>
  <si>
    <t>입력: 사용자 github 주소
출력: 성공여부</t>
  </si>
  <si>
    <t>입력: 사용자 github 주소
출력: 성공여부</t>
    <phoneticPr fontId="2" type="noConversion"/>
  </si>
  <si>
    <t>github 연동 처리</t>
  </si>
  <si>
    <t>github 연동 처리</t>
    <phoneticPr fontId="2" type="noConversion"/>
  </si>
  <si>
    <t>R-061</t>
  </si>
  <si>
    <t>로그인 데이터 처리</t>
  </si>
  <si>
    <t>조회: 아이디, 비밀번호
출력: 성공여부</t>
  </si>
  <si>
    <t>아이디 찾기 DB 처리</t>
  </si>
  <si>
    <t>입력된 이름, 이메일을 DB의 데이터와 비교하여 성공 여부를 반환하고, 성공 시 해당 이메일로 아이디를 전송하도록 함</t>
  </si>
  <si>
    <t>조회: 이름, 이메일 -&gt; 아이디
출력: 성공여부</t>
  </si>
  <si>
    <t>입력된 아이디, 이름, 이메일을 DB의 데이터와 비교하여 성공 여부를 반환하고, 성공 시 해당 이메일로 비밀번호를 전송하도록 함</t>
  </si>
  <si>
    <t>조회: 아이디, 이름, 이메일 -&gt; 비밀번호
출력: 성공여부</t>
  </si>
  <si>
    <t>&lt;2</t>
  </si>
  <si>
    <t>&lt;2</t>
    <phoneticPr fontId="2" type="noConversion"/>
  </si>
  <si>
    <t>&lt;5</t>
  </si>
  <si>
    <t>&lt;5</t>
    <phoneticPr fontId="2" type="noConversion"/>
  </si>
  <si>
    <t>&lt;3</t>
  </si>
  <si>
    <t>&lt;3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</si>
</sst>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133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5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176" fontId="5" fillId="0" borderId="28" xfId="0" applyNumberFormat="1" applyFont="1" applyBorder="1" applyAlignment="1" applyProtection="1">
      <alignment horizontal="center" vertical="center"/>
      <protection locked="0"/>
    </xf>
    <xf numFmtId="0" fontId="5" fillId="0" borderId="28" xfId="0" applyFont="1" applyBorder="1">
      <alignment vertical="center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825500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4673600</xdr:colOff>
          <xdr:row>0</xdr:row>
          <xdr:rowOff>127000</xdr:rowOff>
        </xdr:from>
        <xdr:to>
          <xdr:col>8</xdr:col>
          <xdr:colOff>533400</xdr:colOff>
          <xdr:row>2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83"/>
  <sheetViews>
    <sheetView showGridLines="0" topLeftCell="A63" workbookViewId="0">
      <selection activeCell="N81" sqref="N81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5"/>
  </cols>
  <sheetData>
    <row r="1" spans="1:15" ht="18" customHeight="1">
      <c r="A1" s="83" t="s">
        <v>29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5"/>
    </row>
    <row r="2" spans="1:15" ht="18" customHeight="1">
      <c r="A2" s="86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8"/>
    </row>
    <row r="3" spans="1:15" ht="18" customHeight="1">
      <c r="A3" s="89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1"/>
      <c r="O3" s="35"/>
    </row>
    <row r="4" spans="1:15">
      <c r="A4" s="18" t="s">
        <v>31</v>
      </c>
      <c r="B4" s="17" t="s">
        <v>292</v>
      </c>
      <c r="C4" s="18" t="s">
        <v>8</v>
      </c>
      <c r="D4" s="17" t="s">
        <v>32</v>
      </c>
      <c r="E4" s="18" t="s">
        <v>33</v>
      </c>
      <c r="F4" s="16">
        <v>44573</v>
      </c>
      <c r="G4" s="19"/>
      <c r="H4" s="19"/>
      <c r="I4" s="19"/>
      <c r="J4" s="19"/>
      <c r="K4" s="19"/>
      <c r="L4" s="19"/>
      <c r="M4" s="35"/>
      <c r="N4" s="19"/>
      <c r="O4" s="35"/>
    </row>
    <row r="5" spans="1:15">
      <c r="A5" s="19"/>
      <c r="B5" s="19"/>
      <c r="C5" s="19"/>
      <c r="D5" s="19"/>
      <c r="E5" s="19"/>
      <c r="F5" s="19"/>
      <c r="G5" s="19"/>
      <c r="H5" s="81"/>
      <c r="I5" s="19"/>
      <c r="J5" s="19"/>
      <c r="K5" s="19"/>
      <c r="L5" s="19"/>
      <c r="M5" s="35"/>
      <c r="N5" s="19"/>
      <c r="O5" s="35"/>
    </row>
    <row r="6" spans="1:15">
      <c r="A6" s="92" t="s">
        <v>38</v>
      </c>
      <c r="B6" s="93"/>
      <c r="C6" s="93"/>
      <c r="D6" s="94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>
      <c r="A7" s="95"/>
      <c r="B7" s="96"/>
      <c r="C7" s="96"/>
      <c r="D7" s="97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38">
      <c r="A9" s="37"/>
      <c r="B9" s="22" t="s">
        <v>44</v>
      </c>
      <c r="C9" s="37"/>
      <c r="D9" s="22" t="s">
        <v>244</v>
      </c>
      <c r="E9" s="22" t="s">
        <v>142</v>
      </c>
      <c r="F9" s="22" t="s">
        <v>321</v>
      </c>
      <c r="G9" s="26" t="s">
        <v>317</v>
      </c>
      <c r="H9" s="26" t="s">
        <v>319</v>
      </c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>
      <c r="A11" s="98" t="s">
        <v>39</v>
      </c>
      <c r="B11" s="98"/>
      <c r="C11" s="98"/>
      <c r="D11" s="98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>
      <c r="A12" s="98"/>
      <c r="B12" s="98"/>
      <c r="C12" s="98"/>
      <c r="D12" s="98"/>
      <c r="E12" s="22"/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>
      <c r="A14" s="92" t="s">
        <v>40</v>
      </c>
      <c r="B14" s="93"/>
      <c r="C14" s="93"/>
      <c r="D14" s="94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>
      <c r="A15" s="95"/>
      <c r="B15" s="96"/>
      <c r="C15" s="96"/>
      <c r="D15" s="97"/>
      <c r="E15" s="22" t="s">
        <v>230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>
      <c r="A17" s="22">
        <v>44</v>
      </c>
      <c r="B17" s="22" t="s">
        <v>26</v>
      </c>
      <c r="C17" s="22" t="s">
        <v>230</v>
      </c>
      <c r="D17" s="22" t="s">
        <v>17</v>
      </c>
      <c r="E17" s="22" t="s">
        <v>16</v>
      </c>
      <c r="F17" s="22" t="s">
        <v>231</v>
      </c>
      <c r="G17" s="22" t="s">
        <v>232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>
      <c r="A19" s="99" t="s">
        <v>21</v>
      </c>
      <c r="B19" s="100"/>
      <c r="C19" s="100"/>
      <c r="D19" s="100"/>
      <c r="E19" s="100"/>
      <c r="F19" s="101"/>
      <c r="G19" s="82" t="s">
        <v>22</v>
      </c>
      <c r="H19" s="82"/>
      <c r="I19" s="82" t="s">
        <v>23</v>
      </c>
      <c r="J19" s="82"/>
      <c r="K19" s="82" t="s">
        <v>11</v>
      </c>
      <c r="L19" s="82"/>
      <c r="M19" s="82"/>
      <c r="N19" s="21" t="s">
        <v>30</v>
      </c>
      <c r="O19" s="54" t="s">
        <v>227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5" t="s">
        <v>227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6" t="s">
        <v>41</v>
      </c>
      <c r="O21" s="58"/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7" t="s">
        <v>54</v>
      </c>
      <c r="O22" s="59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7" t="s">
        <v>57</v>
      </c>
      <c r="O23" s="59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7" t="s">
        <v>57</v>
      </c>
      <c r="O24" s="59"/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7" t="s">
        <v>43</v>
      </c>
      <c r="O25" s="59"/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7" t="s">
        <v>57</v>
      </c>
      <c r="O26" s="59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7" t="s">
        <v>57</v>
      </c>
      <c r="O27" s="59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7" t="s">
        <v>43</v>
      </c>
      <c r="O28" s="59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7" t="s">
        <v>57</v>
      </c>
      <c r="O29" s="59"/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7" t="s">
        <v>54</v>
      </c>
      <c r="O30" s="59"/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220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7" t="s">
        <v>43</v>
      </c>
      <c r="O31" s="59"/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7" t="s">
        <v>43</v>
      </c>
      <c r="O32" s="59"/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2" t="s">
        <v>280</v>
      </c>
      <c r="I33" s="25" t="s">
        <v>51</v>
      </c>
      <c r="J33" s="30">
        <v>44567</v>
      </c>
      <c r="K33" s="25"/>
      <c r="L33" s="25"/>
      <c r="M33" s="25"/>
      <c r="N33" s="57" t="s">
        <v>43</v>
      </c>
      <c r="O33" s="59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3"/>
      <c r="I34" s="25" t="s">
        <v>51</v>
      </c>
      <c r="J34" s="30">
        <v>44567</v>
      </c>
      <c r="K34" s="25"/>
      <c r="L34" s="25"/>
      <c r="M34" s="25"/>
      <c r="N34" s="57" t="s">
        <v>43</v>
      </c>
      <c r="O34" s="59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221</v>
      </c>
      <c r="H35" s="25"/>
      <c r="I35" s="25" t="s">
        <v>51</v>
      </c>
      <c r="J35" s="30">
        <v>44567</v>
      </c>
      <c r="K35" s="25"/>
      <c r="L35" s="25"/>
      <c r="M35" s="25"/>
      <c r="N35" s="57" t="s">
        <v>41</v>
      </c>
      <c r="O35" s="59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7" t="s">
        <v>41</v>
      </c>
      <c r="O36" s="59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76" t="s">
        <v>41</v>
      </c>
      <c r="O37" s="59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7" t="s">
        <v>41</v>
      </c>
      <c r="O38" s="59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7" t="s">
        <v>41</v>
      </c>
      <c r="O39" s="59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7" t="s">
        <v>41</v>
      </c>
      <c r="O40" s="59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7" t="s">
        <v>41</v>
      </c>
      <c r="O41" s="59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181</v>
      </c>
      <c r="H42" s="25"/>
      <c r="I42" s="25" t="s">
        <v>51</v>
      </c>
      <c r="J42" s="30">
        <v>44567</v>
      </c>
      <c r="K42" s="25"/>
      <c r="L42" s="25"/>
      <c r="M42" s="25"/>
      <c r="N42" s="57" t="s">
        <v>57</v>
      </c>
      <c r="O42" s="59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282</v>
      </c>
      <c r="H43" s="25"/>
      <c r="I43" s="25" t="s">
        <v>51</v>
      </c>
      <c r="J43" s="30">
        <v>44567</v>
      </c>
      <c r="K43" s="25"/>
      <c r="L43" s="25"/>
      <c r="M43" s="25"/>
      <c r="N43" s="57" t="s">
        <v>57</v>
      </c>
      <c r="O43" s="59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7" t="s">
        <v>57</v>
      </c>
      <c r="O44" s="59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7" t="s">
        <v>43</v>
      </c>
      <c r="O45" s="59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7" t="s">
        <v>41</v>
      </c>
      <c r="O46" s="59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7" t="s">
        <v>41</v>
      </c>
      <c r="O47" s="59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7" t="s">
        <v>41</v>
      </c>
      <c r="O48" s="59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7" t="s">
        <v>41</v>
      </c>
      <c r="O49" s="59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7" t="s">
        <v>57</v>
      </c>
      <c r="O50" s="59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198</v>
      </c>
      <c r="H51" s="31" t="s">
        <v>199</v>
      </c>
      <c r="I51" s="25" t="s">
        <v>51</v>
      </c>
      <c r="J51" s="30">
        <v>44567</v>
      </c>
      <c r="K51" s="25"/>
      <c r="L51" s="25"/>
      <c r="M51" s="25"/>
      <c r="N51" s="57" t="s">
        <v>41</v>
      </c>
      <c r="O51" s="59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201</v>
      </c>
      <c r="I52" s="25" t="s">
        <v>51</v>
      </c>
      <c r="J52" s="30">
        <v>44567</v>
      </c>
      <c r="K52" s="25"/>
      <c r="L52" s="25"/>
      <c r="M52" s="25"/>
      <c r="N52" s="57" t="s">
        <v>41</v>
      </c>
      <c r="O52" s="59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200</v>
      </c>
      <c r="I53" s="25" t="s">
        <v>51</v>
      </c>
      <c r="J53" s="30">
        <v>44567</v>
      </c>
      <c r="K53" s="25"/>
      <c r="L53" s="25"/>
      <c r="M53" s="25"/>
      <c r="N53" s="57" t="s">
        <v>43</v>
      </c>
      <c r="O53" s="59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7" t="s">
        <v>41</v>
      </c>
      <c r="O54" s="59"/>
    </row>
    <row r="55" spans="1:15">
      <c r="A55" s="29">
        <v>35</v>
      </c>
      <c r="B55" s="25" t="s">
        <v>44</v>
      </c>
      <c r="C55" s="25" t="s">
        <v>172</v>
      </c>
      <c r="D55" s="25" t="s">
        <v>47</v>
      </c>
      <c r="E55" s="25" t="s">
        <v>102</v>
      </c>
      <c r="F55" s="25" t="s">
        <v>170</v>
      </c>
      <c r="G55" s="25" t="s">
        <v>171</v>
      </c>
      <c r="H55" s="25"/>
      <c r="I55" s="25" t="s">
        <v>51</v>
      </c>
      <c r="J55" s="30">
        <v>44567</v>
      </c>
      <c r="K55" s="25"/>
      <c r="L55" s="25"/>
      <c r="M55" s="25"/>
      <c r="N55" s="57" t="s">
        <v>41</v>
      </c>
      <c r="O55" s="59"/>
    </row>
    <row r="56" spans="1:15">
      <c r="A56" s="29">
        <v>36</v>
      </c>
      <c r="B56" s="25" t="s">
        <v>44</v>
      </c>
      <c r="C56" s="25" t="s">
        <v>177</v>
      </c>
      <c r="D56" s="25" t="s">
        <v>47</v>
      </c>
      <c r="E56" s="25" t="s">
        <v>102</v>
      </c>
      <c r="F56" s="25" t="s">
        <v>173</v>
      </c>
      <c r="G56" s="25" t="s">
        <v>175</v>
      </c>
      <c r="H56" s="25" t="s">
        <v>176</v>
      </c>
      <c r="I56" s="25" t="s">
        <v>51</v>
      </c>
      <c r="J56" s="30">
        <v>44567</v>
      </c>
      <c r="K56" s="25"/>
      <c r="L56" s="25"/>
      <c r="M56" s="25"/>
      <c r="N56" s="57" t="s">
        <v>41</v>
      </c>
      <c r="O56" s="59"/>
    </row>
    <row r="57" spans="1:15">
      <c r="A57" s="29">
        <v>37</v>
      </c>
      <c r="B57" s="25" t="s">
        <v>44</v>
      </c>
      <c r="C57" s="25" t="s">
        <v>180</v>
      </c>
      <c r="D57" s="25" t="s">
        <v>47</v>
      </c>
      <c r="E57" s="25" t="s">
        <v>102</v>
      </c>
      <c r="F57" s="25" t="s">
        <v>178</v>
      </c>
      <c r="G57" s="25" t="s">
        <v>179</v>
      </c>
      <c r="H57" s="25"/>
      <c r="I57" s="25" t="s">
        <v>51</v>
      </c>
      <c r="J57" s="30">
        <v>44567</v>
      </c>
      <c r="K57" s="25"/>
      <c r="L57" s="25"/>
      <c r="M57" s="25"/>
      <c r="N57" s="57" t="s">
        <v>41</v>
      </c>
      <c r="O57" s="59"/>
    </row>
    <row r="58" spans="1:15">
      <c r="A58" s="29">
        <v>38</v>
      </c>
      <c r="B58" s="25" t="s">
        <v>44</v>
      </c>
      <c r="C58" s="25" t="s">
        <v>182</v>
      </c>
      <c r="D58" s="25" t="s">
        <v>47</v>
      </c>
      <c r="E58" s="25" t="s">
        <v>102</v>
      </c>
      <c r="F58" s="25" t="s">
        <v>293</v>
      </c>
      <c r="G58" s="25" t="s">
        <v>174</v>
      </c>
      <c r="H58" s="25" t="s">
        <v>176</v>
      </c>
      <c r="I58" s="25" t="s">
        <v>51</v>
      </c>
      <c r="J58" s="30">
        <v>44567</v>
      </c>
      <c r="K58" s="25"/>
      <c r="L58" s="25"/>
      <c r="M58" s="25"/>
      <c r="N58" s="57" t="s">
        <v>41</v>
      </c>
      <c r="O58" s="59"/>
    </row>
    <row r="59" spans="1:15">
      <c r="A59" s="29">
        <v>39</v>
      </c>
      <c r="B59" s="25" t="s">
        <v>44</v>
      </c>
      <c r="C59" s="25" t="s">
        <v>184</v>
      </c>
      <c r="D59" s="25" t="s">
        <v>47</v>
      </c>
      <c r="E59" s="25" t="s">
        <v>102</v>
      </c>
      <c r="F59" s="25" t="s">
        <v>183</v>
      </c>
      <c r="G59" s="25" t="s">
        <v>303</v>
      </c>
      <c r="H59" s="25"/>
      <c r="I59" s="25" t="s">
        <v>51</v>
      </c>
      <c r="J59" s="30">
        <v>44567</v>
      </c>
      <c r="K59" s="25"/>
      <c r="L59" s="25"/>
      <c r="M59" s="25"/>
      <c r="N59" s="57" t="s">
        <v>41</v>
      </c>
      <c r="O59" s="59"/>
    </row>
    <row r="60" spans="1:15" ht="38">
      <c r="A60" s="29">
        <v>40</v>
      </c>
      <c r="B60" s="25" t="s">
        <v>44</v>
      </c>
      <c r="C60" s="25" t="s">
        <v>187</v>
      </c>
      <c r="D60" s="25" t="s">
        <v>47</v>
      </c>
      <c r="E60" s="25" t="s">
        <v>102</v>
      </c>
      <c r="F60" s="25" t="s">
        <v>185</v>
      </c>
      <c r="G60" s="31" t="s">
        <v>186</v>
      </c>
      <c r="H60" s="25"/>
      <c r="I60" s="25" t="s">
        <v>51</v>
      </c>
      <c r="J60" s="30">
        <v>44567</v>
      </c>
      <c r="K60" s="25"/>
      <c r="L60" s="25"/>
      <c r="M60" s="25"/>
      <c r="N60" s="57" t="s">
        <v>41</v>
      </c>
      <c r="O60" s="59"/>
    </row>
    <row r="61" spans="1:15">
      <c r="A61" s="29">
        <v>41</v>
      </c>
      <c r="B61" s="25" t="s">
        <v>188</v>
      </c>
      <c r="C61" s="25" t="s">
        <v>205</v>
      </c>
      <c r="D61" s="25" t="s">
        <v>47</v>
      </c>
      <c r="E61" s="25" t="s">
        <v>16</v>
      </c>
      <c r="F61" s="25" t="s">
        <v>202</v>
      </c>
      <c r="G61" s="25" t="s">
        <v>203</v>
      </c>
      <c r="H61" s="25" t="s">
        <v>204</v>
      </c>
      <c r="I61" s="25" t="s">
        <v>51</v>
      </c>
      <c r="J61" s="30">
        <v>44571</v>
      </c>
      <c r="K61" s="25"/>
      <c r="L61" s="25"/>
      <c r="M61" s="25"/>
      <c r="N61" s="57" t="s">
        <v>41</v>
      </c>
      <c r="O61" s="59"/>
    </row>
    <row r="62" spans="1:15">
      <c r="A62" s="29">
        <v>42</v>
      </c>
      <c r="B62" s="25" t="s">
        <v>188</v>
      </c>
      <c r="C62" s="25" t="s">
        <v>208</v>
      </c>
      <c r="D62" s="25" t="s">
        <v>47</v>
      </c>
      <c r="E62" s="25" t="s">
        <v>16</v>
      </c>
      <c r="F62" s="25" t="s">
        <v>206</v>
      </c>
      <c r="G62" s="25" t="s">
        <v>270</v>
      </c>
      <c r="H62" s="25"/>
      <c r="I62" s="25" t="s">
        <v>51</v>
      </c>
      <c r="J62" s="30">
        <v>44571</v>
      </c>
      <c r="K62" s="25"/>
      <c r="L62" s="25"/>
      <c r="M62" s="25"/>
      <c r="N62" s="57" t="s">
        <v>57</v>
      </c>
      <c r="O62" s="59"/>
    </row>
    <row r="63" spans="1:15">
      <c r="A63" s="29">
        <v>43</v>
      </c>
      <c r="B63" s="25" t="s">
        <v>209</v>
      </c>
      <c r="C63" s="25" t="s">
        <v>213</v>
      </c>
      <c r="D63" s="25" t="s">
        <v>47</v>
      </c>
      <c r="E63" s="25" t="s">
        <v>78</v>
      </c>
      <c r="F63" s="25" t="s">
        <v>210</v>
      </c>
      <c r="G63" s="25" t="s">
        <v>211</v>
      </c>
      <c r="H63" s="25" t="s">
        <v>212</v>
      </c>
      <c r="I63" s="25" t="s">
        <v>51</v>
      </c>
      <c r="J63" s="30">
        <v>44571</v>
      </c>
      <c r="K63" s="25"/>
      <c r="L63" s="25"/>
      <c r="M63" s="25"/>
      <c r="N63" s="57" t="s">
        <v>43</v>
      </c>
      <c r="O63" s="59"/>
    </row>
    <row r="64" spans="1:15">
      <c r="A64" s="29">
        <v>44</v>
      </c>
      <c r="B64" s="25" t="s">
        <v>209</v>
      </c>
      <c r="C64" s="25" t="s">
        <v>216</v>
      </c>
      <c r="D64" s="25" t="s">
        <v>47</v>
      </c>
      <c r="E64" s="25" t="s">
        <v>78</v>
      </c>
      <c r="F64" s="25" t="s">
        <v>214</v>
      </c>
      <c r="G64" s="25" t="s">
        <v>215</v>
      </c>
      <c r="H64" s="25"/>
      <c r="I64" s="25" t="s">
        <v>51</v>
      </c>
      <c r="J64" s="30">
        <v>44571</v>
      </c>
      <c r="K64" s="25"/>
      <c r="L64" s="25"/>
      <c r="M64" s="25"/>
      <c r="N64" s="57" t="s">
        <v>41</v>
      </c>
      <c r="O64" s="59"/>
    </row>
    <row r="65" spans="1:15">
      <c r="A65" s="29">
        <v>45</v>
      </c>
      <c r="B65" s="25" t="s">
        <v>195</v>
      </c>
      <c r="C65" s="25" t="s">
        <v>218</v>
      </c>
      <c r="D65" s="25" t="s">
        <v>47</v>
      </c>
      <c r="E65" s="25" t="s">
        <v>78</v>
      </c>
      <c r="F65" s="25" t="s">
        <v>217</v>
      </c>
      <c r="G65" s="25" t="s">
        <v>219</v>
      </c>
      <c r="H65" s="25"/>
      <c r="I65" s="25" t="s">
        <v>51</v>
      </c>
      <c r="J65" s="30">
        <v>44571</v>
      </c>
      <c r="K65" s="25"/>
      <c r="L65" s="25"/>
      <c r="M65" s="25"/>
      <c r="N65" s="57" t="s">
        <v>41</v>
      </c>
      <c r="O65" s="77"/>
    </row>
    <row r="66" spans="1:15" ht="57">
      <c r="A66" s="29">
        <v>46</v>
      </c>
      <c r="B66" s="25" t="s">
        <v>44</v>
      </c>
      <c r="C66" s="25" t="s">
        <v>246</v>
      </c>
      <c r="D66" s="25" t="s">
        <v>47</v>
      </c>
      <c r="E66" s="25" t="s">
        <v>88</v>
      </c>
      <c r="F66" s="25" t="s">
        <v>281</v>
      </c>
      <c r="G66" s="31" t="s">
        <v>284</v>
      </c>
      <c r="H66" s="25"/>
      <c r="I66" s="25" t="s">
        <v>51</v>
      </c>
      <c r="J66" s="30">
        <v>44573</v>
      </c>
      <c r="K66" s="25"/>
      <c r="L66" s="25"/>
      <c r="M66" s="25"/>
      <c r="N66" s="25" t="s">
        <v>41</v>
      </c>
      <c r="O66" s="79"/>
    </row>
    <row r="67" spans="1:15" ht="57">
      <c r="A67" s="29">
        <v>47</v>
      </c>
      <c r="B67" s="25" t="s">
        <v>13</v>
      </c>
      <c r="C67" s="25" t="s">
        <v>315</v>
      </c>
      <c r="D67" s="25" t="s">
        <v>47</v>
      </c>
      <c r="E67" s="25" t="s">
        <v>88</v>
      </c>
      <c r="F67" s="25" t="s">
        <v>304</v>
      </c>
      <c r="G67" s="25" t="s">
        <v>306</v>
      </c>
      <c r="H67" s="31" t="s">
        <v>295</v>
      </c>
      <c r="I67" s="25" t="s">
        <v>51</v>
      </c>
      <c r="J67" s="30">
        <v>44573</v>
      </c>
      <c r="K67" s="25"/>
      <c r="L67" s="25"/>
      <c r="M67" s="25"/>
      <c r="N67" s="25" t="s">
        <v>41</v>
      </c>
      <c r="O67" s="79"/>
    </row>
    <row r="68" spans="1:15">
      <c r="A68" s="29">
        <v>48</v>
      </c>
      <c r="B68" s="25" t="s">
        <v>44</v>
      </c>
      <c r="C68" s="25" t="s">
        <v>291</v>
      </c>
      <c r="D68" s="25" t="s">
        <v>47</v>
      </c>
      <c r="E68" s="25" t="s">
        <v>142</v>
      </c>
      <c r="F68" s="25" t="s">
        <v>286</v>
      </c>
      <c r="G68" s="25" t="s">
        <v>287</v>
      </c>
      <c r="H68" s="25"/>
      <c r="I68" s="25" t="s">
        <v>51</v>
      </c>
      <c r="J68" s="30">
        <v>44573</v>
      </c>
      <c r="K68" s="25"/>
      <c r="L68" s="25"/>
      <c r="M68" s="25"/>
      <c r="N68" s="25" t="s">
        <v>41</v>
      </c>
      <c r="O68" s="79"/>
    </row>
    <row r="69" spans="1:15">
      <c r="A69" s="29">
        <v>49</v>
      </c>
      <c r="B69" s="25" t="s">
        <v>44</v>
      </c>
      <c r="C69" s="25" t="s">
        <v>296</v>
      </c>
      <c r="D69" s="25" t="s">
        <v>47</v>
      </c>
      <c r="E69" s="25" t="s">
        <v>142</v>
      </c>
      <c r="F69" s="25" t="s">
        <v>289</v>
      </c>
      <c r="G69" s="25" t="s">
        <v>290</v>
      </c>
      <c r="H69" s="25"/>
      <c r="I69" s="25" t="s">
        <v>51</v>
      </c>
      <c r="J69" s="30">
        <v>44573</v>
      </c>
      <c r="K69" s="25"/>
      <c r="L69" s="25"/>
      <c r="M69" s="25"/>
      <c r="N69" s="25" t="s">
        <v>41</v>
      </c>
      <c r="O69" s="79"/>
    </row>
    <row r="70" spans="1:15" ht="38">
      <c r="A70" s="29">
        <v>50</v>
      </c>
      <c r="B70" s="25" t="s">
        <v>209</v>
      </c>
      <c r="C70" s="25" t="s">
        <v>247</v>
      </c>
      <c r="D70" s="25" t="s">
        <v>244</v>
      </c>
      <c r="E70" s="25" t="s">
        <v>48</v>
      </c>
      <c r="F70" s="25" t="s">
        <v>245</v>
      </c>
      <c r="G70" s="25" t="s">
        <v>248</v>
      </c>
      <c r="H70" s="31" t="s">
        <v>249</v>
      </c>
      <c r="I70" s="25" t="s">
        <v>51</v>
      </c>
      <c r="J70" s="30">
        <v>44573</v>
      </c>
      <c r="K70" s="25"/>
      <c r="L70" s="25"/>
      <c r="M70" s="25"/>
      <c r="N70" s="25" t="s">
        <v>41</v>
      </c>
      <c r="O70" s="79"/>
    </row>
    <row r="71" spans="1:15" ht="38">
      <c r="A71" s="29">
        <v>51</v>
      </c>
      <c r="B71" s="25" t="s">
        <v>26</v>
      </c>
      <c r="C71" s="25" t="s">
        <v>258</v>
      </c>
      <c r="D71" s="25" t="s">
        <v>15</v>
      </c>
      <c r="E71" s="25" t="s">
        <v>34</v>
      </c>
      <c r="F71" s="25" t="s">
        <v>252</v>
      </c>
      <c r="G71" s="31" t="s">
        <v>259</v>
      </c>
      <c r="H71" s="31" t="s">
        <v>250</v>
      </c>
      <c r="I71" s="25" t="s">
        <v>32</v>
      </c>
      <c r="J71" s="30">
        <v>44573</v>
      </c>
      <c r="K71" s="25"/>
      <c r="L71" s="25"/>
      <c r="M71" s="25"/>
      <c r="N71" s="25" t="s">
        <v>43</v>
      </c>
      <c r="O71" s="79"/>
    </row>
    <row r="72" spans="1:15" ht="38">
      <c r="A72" s="29">
        <v>52</v>
      </c>
      <c r="B72" s="25" t="s">
        <v>209</v>
      </c>
      <c r="C72" s="25" t="s">
        <v>261</v>
      </c>
      <c r="D72" s="25" t="s">
        <v>244</v>
      </c>
      <c r="E72" s="25" t="s">
        <v>48</v>
      </c>
      <c r="F72" s="25" t="s">
        <v>251</v>
      </c>
      <c r="G72" s="31" t="s">
        <v>253</v>
      </c>
      <c r="H72" s="31" t="s">
        <v>254</v>
      </c>
      <c r="I72" s="25" t="s">
        <v>51</v>
      </c>
      <c r="J72" s="30">
        <v>44573</v>
      </c>
      <c r="K72" s="25"/>
      <c r="L72" s="25"/>
      <c r="M72" s="25"/>
      <c r="N72" s="25" t="s">
        <v>41</v>
      </c>
      <c r="O72" s="79"/>
    </row>
    <row r="73" spans="1:15" ht="38">
      <c r="A73" s="29">
        <v>53</v>
      </c>
      <c r="B73" s="25" t="s">
        <v>209</v>
      </c>
      <c r="C73" s="25" t="s">
        <v>266</v>
      </c>
      <c r="D73" s="25" t="s">
        <v>244</v>
      </c>
      <c r="E73" s="25" t="s">
        <v>35</v>
      </c>
      <c r="F73" s="25" t="s">
        <v>255</v>
      </c>
      <c r="G73" s="25" t="s">
        <v>256</v>
      </c>
      <c r="H73" s="31" t="s">
        <v>257</v>
      </c>
      <c r="I73" s="25" t="s">
        <v>51</v>
      </c>
      <c r="J73" s="30">
        <v>44573</v>
      </c>
      <c r="K73" s="25"/>
      <c r="L73" s="25"/>
      <c r="M73" s="25"/>
      <c r="N73" s="25" t="s">
        <v>41</v>
      </c>
      <c r="O73" s="79"/>
    </row>
    <row r="74" spans="1:15" ht="57">
      <c r="A74" s="29">
        <v>54</v>
      </c>
      <c r="B74" s="25" t="s">
        <v>209</v>
      </c>
      <c r="C74" s="25" t="s">
        <v>269</v>
      </c>
      <c r="D74" s="25" t="s">
        <v>244</v>
      </c>
      <c r="E74" s="25" t="s">
        <v>49</v>
      </c>
      <c r="F74" s="25" t="s">
        <v>263</v>
      </c>
      <c r="G74" s="25" t="s">
        <v>264</v>
      </c>
      <c r="H74" s="31" t="s">
        <v>265</v>
      </c>
      <c r="I74" s="25" t="s">
        <v>51</v>
      </c>
      <c r="J74" s="30">
        <v>44573</v>
      </c>
      <c r="K74" s="25"/>
      <c r="L74" s="25"/>
      <c r="M74" s="25"/>
      <c r="N74" s="25" t="s">
        <v>41</v>
      </c>
      <c r="O74" s="79"/>
    </row>
    <row r="75" spans="1:15" ht="57">
      <c r="A75" s="29">
        <v>55</v>
      </c>
      <c r="B75" s="25" t="s">
        <v>209</v>
      </c>
      <c r="C75" s="25" t="s">
        <v>272</v>
      </c>
      <c r="D75" s="25" t="s">
        <v>244</v>
      </c>
      <c r="E75" s="25" t="s">
        <v>88</v>
      </c>
      <c r="F75" s="25" t="s">
        <v>260</v>
      </c>
      <c r="G75" s="25" t="s">
        <v>262</v>
      </c>
      <c r="H75" s="31" t="s">
        <v>300</v>
      </c>
      <c r="I75" s="25" t="s">
        <v>51</v>
      </c>
      <c r="J75" s="30">
        <v>44573</v>
      </c>
      <c r="K75" s="25"/>
      <c r="L75" s="25"/>
      <c r="M75" s="25"/>
      <c r="N75" s="25" t="s">
        <v>41</v>
      </c>
      <c r="O75" s="79"/>
    </row>
    <row r="76" spans="1:15" ht="76">
      <c r="A76" s="29">
        <v>56</v>
      </c>
      <c r="B76" s="25" t="s">
        <v>209</v>
      </c>
      <c r="C76" s="25" t="s">
        <v>278</v>
      </c>
      <c r="D76" s="25" t="s">
        <v>244</v>
      </c>
      <c r="E76" s="25" t="s">
        <v>88</v>
      </c>
      <c r="F76" s="25" t="s">
        <v>267</v>
      </c>
      <c r="G76" s="25" t="s">
        <v>268</v>
      </c>
      <c r="H76" s="31" t="s">
        <v>298</v>
      </c>
      <c r="I76" s="25" t="s">
        <v>51</v>
      </c>
      <c r="J76" s="30">
        <v>44573</v>
      </c>
      <c r="K76" s="25"/>
      <c r="L76" s="25"/>
      <c r="M76" s="25"/>
      <c r="N76" s="25" t="s">
        <v>41</v>
      </c>
      <c r="O76" s="79"/>
    </row>
    <row r="77" spans="1:15" ht="38">
      <c r="A77" s="29">
        <v>57</v>
      </c>
      <c r="B77" s="25" t="s">
        <v>209</v>
      </c>
      <c r="C77" s="25" t="s">
        <v>285</v>
      </c>
      <c r="D77" s="25" t="s">
        <v>244</v>
      </c>
      <c r="E77" s="25" t="s">
        <v>88</v>
      </c>
      <c r="F77" s="25" t="s">
        <v>273</v>
      </c>
      <c r="G77" s="25" t="s">
        <v>271</v>
      </c>
      <c r="H77" s="31" t="s">
        <v>277</v>
      </c>
      <c r="I77" s="25" t="s">
        <v>51</v>
      </c>
      <c r="J77" s="30">
        <v>44573</v>
      </c>
      <c r="K77" s="25"/>
      <c r="L77" s="25"/>
      <c r="M77" s="25"/>
      <c r="N77" s="25" t="s">
        <v>41</v>
      </c>
      <c r="O77" s="79"/>
    </row>
    <row r="78" spans="1:15" ht="38">
      <c r="A78" s="29">
        <v>58</v>
      </c>
      <c r="B78" s="25" t="s">
        <v>209</v>
      </c>
      <c r="C78" s="25" t="s">
        <v>288</v>
      </c>
      <c r="D78" s="25" t="s">
        <v>244</v>
      </c>
      <c r="E78" s="25" t="s">
        <v>88</v>
      </c>
      <c r="F78" s="25" t="s">
        <v>274</v>
      </c>
      <c r="G78" s="25" t="s">
        <v>275</v>
      </c>
      <c r="H78" s="31" t="s">
        <v>276</v>
      </c>
      <c r="I78" s="25" t="s">
        <v>51</v>
      </c>
      <c r="J78" s="30">
        <v>44573</v>
      </c>
      <c r="K78" s="25"/>
      <c r="L78" s="25"/>
      <c r="M78" s="25"/>
      <c r="N78" s="25" t="s">
        <v>41</v>
      </c>
      <c r="O78" s="79"/>
    </row>
    <row r="79" spans="1:15" ht="76">
      <c r="A79" s="29">
        <v>59</v>
      </c>
      <c r="B79" s="25" t="s">
        <v>209</v>
      </c>
      <c r="C79" s="25" t="s">
        <v>307</v>
      </c>
      <c r="D79" s="25" t="s">
        <v>244</v>
      </c>
      <c r="E79" s="25" t="s">
        <v>88</v>
      </c>
      <c r="F79" s="25" t="s">
        <v>294</v>
      </c>
      <c r="G79" s="31" t="s">
        <v>312</v>
      </c>
      <c r="H79" s="31" t="s">
        <v>302</v>
      </c>
      <c r="I79" s="25" t="s">
        <v>51</v>
      </c>
      <c r="J79" s="30">
        <v>44573</v>
      </c>
      <c r="K79" s="25"/>
      <c r="L79" s="25"/>
      <c r="M79" s="25"/>
      <c r="N79" s="25" t="s">
        <v>41</v>
      </c>
      <c r="O79" s="79"/>
    </row>
    <row r="80" spans="1:15" ht="76">
      <c r="A80" s="29">
        <v>60</v>
      </c>
      <c r="B80" s="25" t="s">
        <v>26</v>
      </c>
      <c r="C80" s="25" t="s">
        <v>314</v>
      </c>
      <c r="D80" s="25" t="s">
        <v>15</v>
      </c>
      <c r="E80" s="25" t="s">
        <v>18</v>
      </c>
      <c r="F80" s="31" t="s">
        <v>309</v>
      </c>
      <c r="G80" s="25" t="s">
        <v>313</v>
      </c>
      <c r="H80" s="31" t="s">
        <v>310</v>
      </c>
      <c r="I80" s="25" t="s">
        <v>51</v>
      </c>
      <c r="J80" s="30">
        <v>44573</v>
      </c>
      <c r="K80" s="25"/>
      <c r="L80" s="25"/>
      <c r="M80" s="25"/>
      <c r="N80" s="25" t="s">
        <v>41</v>
      </c>
      <c r="O80" s="79"/>
    </row>
    <row r="81" spans="1:15" ht="38">
      <c r="A81" s="32">
        <v>61</v>
      </c>
      <c r="B81" s="24" t="s">
        <v>26</v>
      </c>
      <c r="C81" s="24" t="s">
        <v>322</v>
      </c>
      <c r="D81" s="24" t="s">
        <v>244</v>
      </c>
      <c r="E81" s="24" t="s">
        <v>142</v>
      </c>
      <c r="F81" s="24" t="s">
        <v>320</v>
      </c>
      <c r="G81" s="80" t="s">
        <v>317</v>
      </c>
      <c r="H81" s="80" t="s">
        <v>318</v>
      </c>
      <c r="I81" s="24" t="s">
        <v>51</v>
      </c>
      <c r="J81" s="33">
        <v>44573</v>
      </c>
      <c r="K81" s="24"/>
      <c r="L81" s="24"/>
      <c r="M81" s="24"/>
      <c r="N81" s="24" t="s">
        <v>41</v>
      </c>
      <c r="O81" s="78"/>
    </row>
    <row r="83" spans="1:15">
      <c r="F83" s="35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E4" sqref="E4"/>
    </sheetView>
  </sheetViews>
  <sheetFormatPr baseColWidth="10" defaultRowHeight="18"/>
  <cols>
    <col min="7" max="7" width="11.140625" style="67" bestFit="1" customWidth="1"/>
    <col min="8" max="9" width="10.7109375" style="66"/>
  </cols>
  <sheetData>
    <row r="1" spans="1:9">
      <c r="A1" s="102" t="s">
        <v>21</v>
      </c>
      <c r="B1" s="102"/>
      <c r="C1" s="102"/>
      <c r="D1" s="103" t="s">
        <v>5</v>
      </c>
      <c r="E1" s="104"/>
      <c r="F1" s="105"/>
      <c r="G1" s="106" t="s">
        <v>233</v>
      </c>
      <c r="H1" s="107"/>
      <c r="I1" s="108"/>
    </row>
    <row r="2" spans="1:9">
      <c r="A2" s="10" t="s">
        <v>2</v>
      </c>
      <c r="B2" s="11" t="s">
        <v>1</v>
      </c>
      <c r="C2" s="12" t="s">
        <v>4</v>
      </c>
      <c r="D2" s="60" t="s">
        <v>228</v>
      </c>
      <c r="E2" s="60" t="s">
        <v>229</v>
      </c>
      <c r="F2" s="63" t="s">
        <v>235</v>
      </c>
      <c r="G2" s="65" t="s">
        <v>236</v>
      </c>
      <c r="H2" s="62" t="s">
        <v>234</v>
      </c>
      <c r="I2" s="62" t="s">
        <v>237</v>
      </c>
    </row>
    <row r="3" spans="1:9">
      <c r="A3" s="1" t="s">
        <v>13</v>
      </c>
      <c r="B3" s="2" t="s">
        <v>17</v>
      </c>
      <c r="C3" s="3" t="s">
        <v>16</v>
      </c>
      <c r="D3" s="61">
        <f>COUNT(reqNum)</f>
        <v>61</v>
      </c>
      <c r="E3" s="61">
        <v>62</v>
      </c>
      <c r="F3" s="64">
        <f>COUNTA(reqCompleteNum)</f>
        <v>0</v>
      </c>
      <c r="G3" s="67">
        <v>44572</v>
      </c>
      <c r="H3" s="66">
        <v>0</v>
      </c>
      <c r="I3" s="68">
        <f>reqCount-H3</f>
        <v>61</v>
      </c>
    </row>
    <row r="4" spans="1:9">
      <c r="A4" s="4" t="s">
        <v>25</v>
      </c>
      <c r="B4" s="5" t="s">
        <v>14</v>
      </c>
      <c r="C4" s="6" t="s">
        <v>37</v>
      </c>
      <c r="I4" s="68"/>
    </row>
    <row r="5" spans="1:9">
      <c r="A5" s="4" t="s">
        <v>26</v>
      </c>
      <c r="B5" s="8" t="s">
        <v>15</v>
      </c>
      <c r="C5" s="6" t="s">
        <v>18</v>
      </c>
      <c r="I5" s="68"/>
    </row>
    <row r="6" spans="1:9">
      <c r="A6" s="4" t="s">
        <v>27</v>
      </c>
      <c r="C6" s="6" t="s">
        <v>19</v>
      </c>
      <c r="I6" s="68"/>
    </row>
    <row r="7" spans="1:9">
      <c r="A7" s="4" t="s">
        <v>196</v>
      </c>
      <c r="C7" s="6" t="s">
        <v>36</v>
      </c>
      <c r="I7" s="68"/>
    </row>
    <row r="8" spans="1:9">
      <c r="A8" s="4" t="s">
        <v>197</v>
      </c>
      <c r="C8" s="6" t="s">
        <v>20</v>
      </c>
      <c r="I8" s="68"/>
    </row>
    <row r="9" spans="1:9">
      <c r="A9" s="7" t="s">
        <v>28</v>
      </c>
      <c r="C9" s="6" t="s">
        <v>34</v>
      </c>
      <c r="I9" s="68"/>
    </row>
    <row r="10" spans="1:9">
      <c r="C10" s="6" t="s">
        <v>35</v>
      </c>
      <c r="I10" s="68"/>
    </row>
    <row r="11" spans="1:9">
      <c r="C11" s="9" t="s">
        <v>28</v>
      </c>
      <c r="I11" s="68"/>
    </row>
    <row r="12" spans="1:9">
      <c r="I12" s="68"/>
    </row>
    <row r="13" spans="1:9">
      <c r="I13" s="68"/>
    </row>
    <row r="14" spans="1:9">
      <c r="I14" s="68"/>
    </row>
    <row r="15" spans="1:9">
      <c r="I15" s="68"/>
    </row>
    <row r="16" spans="1:9">
      <c r="I16" s="68"/>
    </row>
    <row r="17" spans="9:9">
      <c r="I17" s="68"/>
    </row>
    <row r="18" spans="9:9">
      <c r="I18" s="68"/>
    </row>
    <row r="19" spans="9:9">
      <c r="I19" s="68"/>
    </row>
    <row r="20" spans="9:9">
      <c r="I20" s="68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40"/>
  <sheetViews>
    <sheetView tabSelected="1" workbookViewId="0">
      <selection activeCell="J12" sqref="J12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0" width="10.7109375" customWidth="1"/>
    <col min="11" max="11" width="11.28515625" bestFit="1" customWidth="1"/>
    <col min="12" max="18" width="10.7109375" customWidth="1"/>
  </cols>
  <sheetData>
    <row r="1" spans="1:14" ht="20" customHeight="1">
      <c r="A1" s="109" t="s">
        <v>189</v>
      </c>
      <c r="B1" s="110"/>
      <c r="C1" s="110"/>
      <c r="D1" s="110"/>
      <c r="E1" s="110"/>
      <c r="F1" s="110"/>
      <c r="G1" s="110"/>
      <c r="H1" s="110"/>
      <c r="I1" s="111"/>
      <c r="J1" s="118" t="s">
        <v>190</v>
      </c>
      <c r="K1" s="119"/>
      <c r="L1" s="120"/>
      <c r="N1" s="41"/>
    </row>
    <row r="2" spans="1:14" ht="18" customHeight="1">
      <c r="A2" s="112"/>
      <c r="B2" s="113"/>
      <c r="C2" s="113"/>
      <c r="D2" s="113"/>
      <c r="E2" s="113"/>
      <c r="F2" s="113"/>
      <c r="G2" s="113"/>
      <c r="H2" s="113"/>
      <c r="I2" s="114"/>
      <c r="J2" s="121"/>
      <c r="K2" s="122"/>
      <c r="L2" s="123"/>
      <c r="N2" s="41"/>
    </row>
    <row r="3" spans="1:14" ht="18" customHeight="1">
      <c r="A3" s="112"/>
      <c r="B3" s="113"/>
      <c r="C3" s="113"/>
      <c r="D3" s="113"/>
      <c r="E3" s="113"/>
      <c r="F3" s="113"/>
      <c r="G3" s="113"/>
      <c r="H3" s="113"/>
      <c r="I3" s="114"/>
      <c r="J3" s="42"/>
      <c r="K3" s="43"/>
      <c r="L3" s="44"/>
      <c r="N3" s="41"/>
    </row>
    <row r="4" spans="1:14" ht="18" customHeight="1">
      <c r="A4" s="112"/>
      <c r="B4" s="113"/>
      <c r="C4" s="113"/>
      <c r="D4" s="113"/>
      <c r="E4" s="113"/>
      <c r="F4" s="113">
        <v>12</v>
      </c>
      <c r="G4" s="113"/>
      <c r="H4" s="113"/>
      <c r="I4" s="114"/>
      <c r="J4" s="45"/>
      <c r="K4" s="46"/>
      <c r="L4" s="47"/>
      <c r="N4" s="41"/>
    </row>
    <row r="5" spans="1:14" ht="18" customHeight="1">
      <c r="A5" s="115"/>
      <c r="B5" s="116"/>
      <c r="C5" s="116"/>
      <c r="D5" s="116"/>
      <c r="E5" s="116"/>
      <c r="F5" s="116"/>
      <c r="G5" s="116"/>
      <c r="H5" s="116"/>
      <c r="I5" s="117"/>
      <c r="J5" s="48"/>
      <c r="K5" s="49"/>
      <c r="L5" s="50"/>
      <c r="N5" s="41"/>
    </row>
    <row r="6" spans="1:14">
      <c r="N6" s="41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241</v>
      </c>
      <c r="N7" s="41"/>
    </row>
    <row r="8" spans="1:14">
      <c r="A8" s="66">
        <v>1</v>
      </c>
      <c r="B8" s="66" t="s">
        <v>44</v>
      </c>
      <c r="C8" s="66" t="s">
        <v>45</v>
      </c>
      <c r="D8" s="66" t="s">
        <v>47</v>
      </c>
      <c r="E8" s="66" t="s">
        <v>48</v>
      </c>
      <c r="F8" s="66" t="s">
        <v>48</v>
      </c>
      <c r="G8" s="66" t="s">
        <v>50</v>
      </c>
      <c r="H8" s="66"/>
      <c r="I8" s="66" t="s">
        <v>41</v>
      </c>
      <c r="J8" s="66"/>
      <c r="K8" s="66">
        <v>2</v>
      </c>
    </row>
    <row r="9" spans="1:14">
      <c r="A9" s="66">
        <v>2</v>
      </c>
      <c r="B9" s="66" t="s">
        <v>44</v>
      </c>
      <c r="C9" s="66" t="s">
        <v>42</v>
      </c>
      <c r="D9" s="66" t="s">
        <v>47</v>
      </c>
      <c r="E9" s="66" t="s">
        <v>48</v>
      </c>
      <c r="F9" s="66" t="s">
        <v>52</v>
      </c>
      <c r="G9" s="66" t="s">
        <v>53</v>
      </c>
      <c r="H9" s="66"/>
      <c r="I9" s="66" t="s">
        <v>54</v>
      </c>
      <c r="J9" s="66"/>
      <c r="K9" s="66" t="s">
        <v>330</v>
      </c>
    </row>
    <row r="10" spans="1:14">
      <c r="A10" s="66">
        <v>3</v>
      </c>
      <c r="B10" s="66" t="s">
        <v>44</v>
      </c>
      <c r="C10" s="66" t="s">
        <v>46</v>
      </c>
      <c r="D10" s="66" t="s">
        <v>47</v>
      </c>
      <c r="E10" s="66" t="s">
        <v>48</v>
      </c>
      <c r="F10" s="66" t="s">
        <v>55</v>
      </c>
      <c r="G10" s="66" t="s">
        <v>60</v>
      </c>
      <c r="H10" s="66" t="s">
        <v>56</v>
      </c>
      <c r="I10" s="66" t="s">
        <v>57</v>
      </c>
      <c r="J10" s="66"/>
      <c r="K10" s="66" t="s">
        <v>330</v>
      </c>
    </row>
    <row r="11" spans="1:14" ht="19">
      <c r="A11" s="66">
        <v>4</v>
      </c>
      <c r="B11" s="66" t="s">
        <v>44</v>
      </c>
      <c r="C11" s="66" t="s">
        <v>62</v>
      </c>
      <c r="D11" s="66" t="s">
        <v>47</v>
      </c>
      <c r="E11" s="66" t="s">
        <v>48</v>
      </c>
      <c r="F11" s="66" t="s">
        <v>58</v>
      </c>
      <c r="G11" s="69" t="s">
        <v>59</v>
      </c>
      <c r="H11" s="66" t="s">
        <v>61</v>
      </c>
      <c r="I11" s="66" t="s">
        <v>57</v>
      </c>
      <c r="J11" s="66"/>
      <c r="K11" s="66" t="s">
        <v>330</v>
      </c>
    </row>
    <row r="12" spans="1:14" ht="38">
      <c r="A12" s="66">
        <v>18</v>
      </c>
      <c r="B12" s="66" t="s">
        <v>209</v>
      </c>
      <c r="C12" s="66" t="s">
        <v>247</v>
      </c>
      <c r="D12" s="66" t="s">
        <v>244</v>
      </c>
      <c r="E12" s="66" t="s">
        <v>48</v>
      </c>
      <c r="F12" s="66" t="s">
        <v>323</v>
      </c>
      <c r="G12" s="66" t="s">
        <v>248</v>
      </c>
      <c r="H12" s="69" t="s">
        <v>324</v>
      </c>
      <c r="I12" s="66" t="s">
        <v>41</v>
      </c>
      <c r="J12" s="66"/>
      <c r="K12" s="66" t="s">
        <v>330</v>
      </c>
    </row>
    <row r="13" spans="1:14" ht="38">
      <c r="A13" s="66">
        <v>19</v>
      </c>
      <c r="B13" s="66" t="s">
        <v>209</v>
      </c>
      <c r="C13" s="66" t="s">
        <v>258</v>
      </c>
      <c r="D13" s="66" t="s">
        <v>244</v>
      </c>
      <c r="E13" s="66" t="s">
        <v>48</v>
      </c>
      <c r="F13" s="66" t="s">
        <v>325</v>
      </c>
      <c r="G13" s="66" t="s">
        <v>326</v>
      </c>
      <c r="H13" s="69" t="s">
        <v>327</v>
      </c>
      <c r="I13" s="66" t="s">
        <v>41</v>
      </c>
      <c r="J13" s="66"/>
      <c r="K13" s="66" t="s">
        <v>330</v>
      </c>
    </row>
    <row r="14" spans="1:14" ht="38">
      <c r="A14" s="66">
        <v>20</v>
      </c>
      <c r="B14" s="66" t="s">
        <v>209</v>
      </c>
      <c r="C14" s="66" t="s">
        <v>261</v>
      </c>
      <c r="D14" s="66" t="s">
        <v>244</v>
      </c>
      <c r="E14" s="66" t="s">
        <v>48</v>
      </c>
      <c r="F14" s="66" t="s">
        <v>251</v>
      </c>
      <c r="G14" s="66" t="s">
        <v>328</v>
      </c>
      <c r="H14" s="69" t="s">
        <v>329</v>
      </c>
      <c r="I14" s="66" t="s">
        <v>41</v>
      </c>
      <c r="J14" s="66"/>
      <c r="K14" s="66" t="s">
        <v>330</v>
      </c>
    </row>
    <row r="15" spans="1:14">
      <c r="A15" s="66">
        <v>5</v>
      </c>
      <c r="B15" s="66" t="s">
        <v>44</v>
      </c>
      <c r="C15" s="66" t="s">
        <v>64</v>
      </c>
      <c r="D15" s="66" t="s">
        <v>47</v>
      </c>
      <c r="E15" s="66" t="s">
        <v>49</v>
      </c>
      <c r="F15" s="66" t="s">
        <v>49</v>
      </c>
      <c r="G15" s="66" t="s">
        <v>63</v>
      </c>
      <c r="H15" s="66" t="s">
        <v>239</v>
      </c>
      <c r="I15" s="66" t="s">
        <v>41</v>
      </c>
      <c r="J15" s="66"/>
      <c r="K15" s="66">
        <v>1</v>
      </c>
    </row>
    <row r="16" spans="1:14">
      <c r="A16" s="66">
        <v>6</v>
      </c>
      <c r="B16" s="66" t="s">
        <v>44</v>
      </c>
      <c r="C16" s="66" t="s">
        <v>67</v>
      </c>
      <c r="D16" s="66" t="s">
        <v>47</v>
      </c>
      <c r="E16" s="66" t="s">
        <v>49</v>
      </c>
      <c r="F16" s="66" t="s">
        <v>65</v>
      </c>
      <c r="G16" s="66" t="s">
        <v>66</v>
      </c>
      <c r="H16" s="66" t="s">
        <v>240</v>
      </c>
      <c r="I16" s="66" t="s">
        <v>57</v>
      </c>
      <c r="J16" s="66"/>
      <c r="K16" s="66" t="s">
        <v>242</v>
      </c>
    </row>
    <row r="17" spans="1:11">
      <c r="A17" s="66">
        <v>7</v>
      </c>
      <c r="B17" s="66" t="s">
        <v>44</v>
      </c>
      <c r="C17" s="66" t="s">
        <v>71</v>
      </c>
      <c r="D17" s="66" t="s">
        <v>47</v>
      </c>
      <c r="E17" s="66" t="s">
        <v>49</v>
      </c>
      <c r="F17" s="66" t="s">
        <v>68</v>
      </c>
      <c r="G17" s="66" t="s">
        <v>69</v>
      </c>
      <c r="H17" s="66" t="s">
        <v>70</v>
      </c>
      <c r="I17" s="66" t="s">
        <v>57</v>
      </c>
      <c r="J17" s="66"/>
      <c r="K17" s="66" t="s">
        <v>242</v>
      </c>
    </row>
    <row r="18" spans="1:11" ht="38">
      <c r="A18" s="66">
        <v>21</v>
      </c>
      <c r="B18" s="66" t="s">
        <v>209</v>
      </c>
      <c r="C18" s="66" t="s">
        <v>266</v>
      </c>
      <c r="D18" s="66" t="s">
        <v>244</v>
      </c>
      <c r="E18" s="66" t="s">
        <v>49</v>
      </c>
      <c r="F18" s="66" t="s">
        <v>255</v>
      </c>
      <c r="G18" s="66" t="s">
        <v>256</v>
      </c>
      <c r="H18" s="69" t="s">
        <v>257</v>
      </c>
      <c r="I18" s="66" t="s">
        <v>41</v>
      </c>
      <c r="J18" s="66"/>
      <c r="K18" s="66" t="s">
        <v>242</v>
      </c>
    </row>
    <row r="19" spans="1:11" ht="57">
      <c r="A19" s="66">
        <v>22</v>
      </c>
      <c r="B19" s="66" t="s">
        <v>209</v>
      </c>
      <c r="C19" s="66" t="s">
        <v>269</v>
      </c>
      <c r="D19" s="66" t="s">
        <v>244</v>
      </c>
      <c r="E19" s="66" t="s">
        <v>49</v>
      </c>
      <c r="F19" s="66" t="s">
        <v>263</v>
      </c>
      <c r="G19" s="66" t="s">
        <v>264</v>
      </c>
      <c r="H19" s="69" t="s">
        <v>265</v>
      </c>
      <c r="I19" s="66" t="s">
        <v>41</v>
      </c>
      <c r="J19" s="66"/>
      <c r="K19" s="66" t="s">
        <v>242</v>
      </c>
    </row>
    <row r="20" spans="1:11">
      <c r="A20" s="66">
        <v>8</v>
      </c>
      <c r="B20" s="66" t="s">
        <v>188</v>
      </c>
      <c r="C20" s="66" t="s">
        <v>73</v>
      </c>
      <c r="D20" s="66" t="s">
        <v>47</v>
      </c>
      <c r="E20" s="66" t="s">
        <v>78</v>
      </c>
      <c r="F20" s="66" t="s">
        <v>75</v>
      </c>
      <c r="G20" s="66" t="s">
        <v>76</v>
      </c>
      <c r="H20" s="66" t="s">
        <v>77</v>
      </c>
      <c r="I20" s="66" t="s">
        <v>41</v>
      </c>
      <c r="J20" s="66"/>
      <c r="K20" s="66">
        <v>1</v>
      </c>
    </row>
    <row r="21" spans="1:11">
      <c r="A21" s="66">
        <v>9</v>
      </c>
      <c r="B21" s="66" t="s">
        <v>188</v>
      </c>
      <c r="C21" s="66" t="s">
        <v>81</v>
      </c>
      <c r="D21" s="66" t="s">
        <v>47</v>
      </c>
      <c r="E21" s="66" t="s">
        <v>78</v>
      </c>
      <c r="F21" s="66" t="s">
        <v>79</v>
      </c>
      <c r="G21" s="66" t="s">
        <v>80</v>
      </c>
      <c r="H21" s="66"/>
      <c r="I21" s="66" t="s">
        <v>57</v>
      </c>
      <c r="J21" s="66"/>
      <c r="K21" s="66" t="s">
        <v>242</v>
      </c>
    </row>
    <row r="22" spans="1:11">
      <c r="A22" s="66">
        <v>10</v>
      </c>
      <c r="B22" s="66" t="s">
        <v>188</v>
      </c>
      <c r="C22" s="66" t="s">
        <v>82</v>
      </c>
      <c r="D22" s="66" t="s">
        <v>74</v>
      </c>
      <c r="E22" s="66" t="s">
        <v>78</v>
      </c>
      <c r="F22" s="66" t="s">
        <v>85</v>
      </c>
      <c r="G22" s="66" t="s">
        <v>86</v>
      </c>
      <c r="H22" s="66"/>
      <c r="I22" s="66" t="s">
        <v>54</v>
      </c>
      <c r="J22" s="66"/>
      <c r="K22" s="66" t="s">
        <v>242</v>
      </c>
    </row>
    <row r="23" spans="1:11">
      <c r="A23" s="66">
        <v>11</v>
      </c>
      <c r="B23" s="66" t="s">
        <v>188</v>
      </c>
      <c r="C23" s="66" t="s">
        <v>87</v>
      </c>
      <c r="D23" s="66" t="s">
        <v>47</v>
      </c>
      <c r="E23" s="66" t="s">
        <v>78</v>
      </c>
      <c r="F23" s="66" t="s">
        <v>83</v>
      </c>
      <c r="G23" s="66" t="s">
        <v>89</v>
      </c>
      <c r="H23" s="66" t="s">
        <v>84</v>
      </c>
      <c r="I23" s="66" t="s">
        <v>41</v>
      </c>
      <c r="J23" s="66"/>
      <c r="K23" s="66" t="s">
        <v>242</v>
      </c>
    </row>
    <row r="24" spans="1:11">
      <c r="A24" s="66">
        <v>12</v>
      </c>
      <c r="B24" s="66" t="s">
        <v>44</v>
      </c>
      <c r="C24" s="66" t="s">
        <v>92</v>
      </c>
      <c r="D24" s="66" t="s">
        <v>74</v>
      </c>
      <c r="E24" s="66" t="s">
        <v>88</v>
      </c>
      <c r="F24" s="66" t="s">
        <v>90</v>
      </c>
      <c r="G24" s="66" t="s">
        <v>223</v>
      </c>
      <c r="H24" s="66" t="s">
        <v>224</v>
      </c>
      <c r="I24" s="66" t="s">
        <v>41</v>
      </c>
      <c r="J24" s="66"/>
      <c r="K24" s="66">
        <v>5</v>
      </c>
    </row>
    <row r="25" spans="1:11" ht="57">
      <c r="A25" s="66">
        <v>23</v>
      </c>
      <c r="B25" s="66" t="s">
        <v>209</v>
      </c>
      <c r="C25" s="66" t="s">
        <v>272</v>
      </c>
      <c r="D25" s="66" t="s">
        <v>244</v>
      </c>
      <c r="E25" s="66" t="s">
        <v>88</v>
      </c>
      <c r="F25" s="66" t="s">
        <v>260</v>
      </c>
      <c r="G25" s="66" t="s">
        <v>262</v>
      </c>
      <c r="H25" s="69" t="s">
        <v>299</v>
      </c>
      <c r="I25" s="66" t="s">
        <v>41</v>
      </c>
      <c r="J25" s="66"/>
      <c r="K25" s="66" t="s">
        <v>332</v>
      </c>
    </row>
    <row r="26" spans="1:11">
      <c r="A26" s="66">
        <v>13</v>
      </c>
      <c r="B26" s="66" t="s">
        <v>44</v>
      </c>
      <c r="C26" s="66" t="s">
        <v>94</v>
      </c>
      <c r="D26" s="66" t="s">
        <v>47</v>
      </c>
      <c r="E26" s="66" t="s">
        <v>88</v>
      </c>
      <c r="F26" s="66" t="s">
        <v>93</v>
      </c>
      <c r="G26" s="66" t="s">
        <v>222</v>
      </c>
      <c r="H26" s="66" t="s">
        <v>279</v>
      </c>
      <c r="I26" s="66" t="s">
        <v>41</v>
      </c>
      <c r="J26" s="66"/>
      <c r="K26" s="66">
        <v>1</v>
      </c>
    </row>
    <row r="27" spans="1:11" ht="38">
      <c r="A27" s="66">
        <v>25</v>
      </c>
      <c r="B27" s="66" t="s">
        <v>209</v>
      </c>
      <c r="C27" s="66" t="s">
        <v>285</v>
      </c>
      <c r="D27" s="66" t="s">
        <v>244</v>
      </c>
      <c r="E27" s="66" t="s">
        <v>88</v>
      </c>
      <c r="F27" s="66" t="s">
        <v>273</v>
      </c>
      <c r="G27" s="66" t="s">
        <v>271</v>
      </c>
      <c r="H27" s="69" t="s">
        <v>276</v>
      </c>
      <c r="I27" s="66" t="s">
        <v>41</v>
      </c>
      <c r="J27" s="66"/>
      <c r="K27" s="66" t="s">
        <v>242</v>
      </c>
    </row>
    <row r="28" spans="1:11">
      <c r="A28" s="66">
        <v>14</v>
      </c>
      <c r="B28" s="66" t="s">
        <v>44</v>
      </c>
      <c r="C28" s="66" t="s">
        <v>98</v>
      </c>
      <c r="D28" s="66" t="s">
        <v>74</v>
      </c>
      <c r="E28" s="66" t="s">
        <v>88</v>
      </c>
      <c r="F28" s="66" t="s">
        <v>95</v>
      </c>
      <c r="G28" s="66" t="s">
        <v>97</v>
      </c>
      <c r="H28" s="66"/>
      <c r="I28" s="66" t="s">
        <v>41</v>
      </c>
      <c r="J28" s="66"/>
      <c r="K28" s="66">
        <v>1</v>
      </c>
    </row>
    <row r="29" spans="1:11" ht="38">
      <c r="A29" s="66">
        <v>26</v>
      </c>
      <c r="B29" s="66" t="s">
        <v>209</v>
      </c>
      <c r="C29" s="66" t="s">
        <v>288</v>
      </c>
      <c r="D29" s="66" t="s">
        <v>244</v>
      </c>
      <c r="E29" s="66" t="s">
        <v>88</v>
      </c>
      <c r="F29" s="66" t="s">
        <v>274</v>
      </c>
      <c r="G29" s="66" t="s">
        <v>275</v>
      </c>
      <c r="H29" s="69" t="s">
        <v>276</v>
      </c>
      <c r="I29" s="66" t="s">
        <v>41</v>
      </c>
      <c r="J29" s="66"/>
      <c r="K29" s="66" t="s">
        <v>242</v>
      </c>
    </row>
    <row r="30" spans="1:11">
      <c r="A30" s="66">
        <v>15</v>
      </c>
      <c r="B30" s="66" t="s">
        <v>44</v>
      </c>
      <c r="C30" s="66" t="s">
        <v>101</v>
      </c>
      <c r="D30" s="66" t="s">
        <v>47</v>
      </c>
      <c r="E30" s="66" t="s">
        <v>88</v>
      </c>
      <c r="F30" s="66" t="s">
        <v>99</v>
      </c>
      <c r="G30" s="66" t="s">
        <v>225</v>
      </c>
      <c r="H30" s="66"/>
      <c r="I30" s="66" t="s">
        <v>41</v>
      </c>
      <c r="J30" s="66"/>
      <c r="K30" s="66">
        <v>3</v>
      </c>
    </row>
    <row r="31" spans="1:11" ht="76">
      <c r="A31" s="66">
        <v>24</v>
      </c>
      <c r="B31" s="66" t="s">
        <v>209</v>
      </c>
      <c r="C31" s="66" t="s">
        <v>278</v>
      </c>
      <c r="D31" s="66" t="s">
        <v>244</v>
      </c>
      <c r="E31" s="66" t="s">
        <v>88</v>
      </c>
      <c r="F31" s="66" t="s">
        <v>267</v>
      </c>
      <c r="G31" s="66" t="s">
        <v>268</v>
      </c>
      <c r="H31" s="69" t="s">
        <v>297</v>
      </c>
      <c r="I31" s="66" t="s">
        <v>41</v>
      </c>
      <c r="J31" s="66"/>
      <c r="K31" s="66" t="s">
        <v>334</v>
      </c>
    </row>
    <row r="32" spans="1:11">
      <c r="A32" s="66">
        <v>16</v>
      </c>
      <c r="B32" s="66" t="s">
        <v>44</v>
      </c>
      <c r="C32" s="66" t="s">
        <v>246</v>
      </c>
      <c r="D32" s="66" t="s">
        <v>47</v>
      </c>
      <c r="E32" s="66" t="s">
        <v>88</v>
      </c>
      <c r="F32" s="66" t="s">
        <v>281</v>
      </c>
      <c r="G32" s="66" t="s">
        <v>283</v>
      </c>
      <c r="H32" s="66"/>
      <c r="I32" s="66" t="s">
        <v>41</v>
      </c>
      <c r="J32" s="66"/>
      <c r="K32" s="66">
        <v>2</v>
      </c>
    </row>
    <row r="33" spans="1:11" ht="76">
      <c r="A33" s="66">
        <v>27</v>
      </c>
      <c r="B33" s="66" t="s">
        <v>209</v>
      </c>
      <c r="C33" s="66" t="s">
        <v>307</v>
      </c>
      <c r="D33" s="66" t="s">
        <v>244</v>
      </c>
      <c r="E33" s="66" t="s">
        <v>88</v>
      </c>
      <c r="F33" s="66" t="s">
        <v>294</v>
      </c>
      <c r="G33" s="66" t="s">
        <v>311</v>
      </c>
      <c r="H33" s="69" t="s">
        <v>301</v>
      </c>
      <c r="I33" s="66" t="s">
        <v>41</v>
      </c>
      <c r="J33" s="66"/>
      <c r="K33" s="66" t="s">
        <v>330</v>
      </c>
    </row>
    <row r="34" spans="1:11" ht="57">
      <c r="A34" s="66">
        <v>17</v>
      </c>
      <c r="B34" s="66" t="s">
        <v>44</v>
      </c>
      <c r="C34" s="66" t="s">
        <v>315</v>
      </c>
      <c r="D34" s="66" t="s">
        <v>47</v>
      </c>
      <c r="E34" s="66" t="s">
        <v>88</v>
      </c>
      <c r="F34" s="66" t="s">
        <v>304</v>
      </c>
      <c r="G34" s="66" t="s">
        <v>305</v>
      </c>
      <c r="H34" s="69" t="s">
        <v>295</v>
      </c>
      <c r="I34" s="66" t="s">
        <v>41</v>
      </c>
      <c r="J34" s="66"/>
      <c r="K34" s="66" t="s">
        <v>330</v>
      </c>
    </row>
    <row r="35" spans="1:11" ht="76">
      <c r="A35" s="66">
        <v>28</v>
      </c>
      <c r="B35" s="66" t="s">
        <v>209</v>
      </c>
      <c r="C35" s="66" t="s">
        <v>314</v>
      </c>
      <c r="D35" s="66" t="s">
        <v>244</v>
      </c>
      <c r="E35" s="66" t="s">
        <v>88</v>
      </c>
      <c r="F35" s="66" t="s">
        <v>308</v>
      </c>
      <c r="G35" s="66" t="s">
        <v>313</v>
      </c>
      <c r="H35" s="69" t="s">
        <v>310</v>
      </c>
      <c r="I35" s="66" t="s">
        <v>41</v>
      </c>
      <c r="J35" s="66"/>
      <c r="K35" s="66" t="s">
        <v>330</v>
      </c>
    </row>
    <row r="36" spans="1:11" ht="38">
      <c r="A36" s="66">
        <v>29</v>
      </c>
      <c r="B36" s="66" t="s">
        <v>209</v>
      </c>
      <c r="C36" s="66" t="s">
        <v>322</v>
      </c>
      <c r="D36" s="66" t="s">
        <v>244</v>
      </c>
      <c r="E36" s="66" t="s">
        <v>142</v>
      </c>
      <c r="F36" s="66" t="s">
        <v>320</v>
      </c>
      <c r="G36" s="66" t="s">
        <v>316</v>
      </c>
      <c r="H36" s="69" t="s">
        <v>318</v>
      </c>
      <c r="I36" s="66" t="s">
        <v>41</v>
      </c>
      <c r="J36" s="66"/>
      <c r="K36" s="66">
        <v>3</v>
      </c>
    </row>
    <row r="37" spans="1:11">
      <c r="A37" s="66">
        <v>30</v>
      </c>
      <c r="B37" s="66" t="s">
        <v>188</v>
      </c>
      <c r="C37" s="66" t="s">
        <v>208</v>
      </c>
      <c r="D37" s="66" t="s">
        <v>47</v>
      </c>
      <c r="E37" s="66" t="s">
        <v>78</v>
      </c>
      <c r="F37" s="66" t="s">
        <v>206</v>
      </c>
      <c r="G37" s="66" t="s">
        <v>207</v>
      </c>
      <c r="H37" s="66"/>
      <c r="I37" s="66" t="s">
        <v>57</v>
      </c>
      <c r="J37" s="66"/>
      <c r="K37" s="66">
        <v>0</v>
      </c>
    </row>
    <row r="38" spans="1:11">
      <c r="A38" s="66">
        <v>31</v>
      </c>
      <c r="B38" s="66" t="s">
        <v>209</v>
      </c>
      <c r="C38" s="66" t="s">
        <v>213</v>
      </c>
      <c r="D38" s="66" t="s">
        <v>47</v>
      </c>
      <c r="E38" s="66" t="s">
        <v>78</v>
      </c>
      <c r="F38" s="66" t="s">
        <v>210</v>
      </c>
      <c r="G38" s="66" t="s">
        <v>211</v>
      </c>
      <c r="H38" s="66" t="s">
        <v>212</v>
      </c>
      <c r="I38" s="66" t="s">
        <v>41</v>
      </c>
      <c r="J38" s="66"/>
      <c r="K38" s="66">
        <v>0</v>
      </c>
    </row>
    <row r="39" spans="1:11">
      <c r="A39" s="66">
        <v>32</v>
      </c>
      <c r="B39" s="66" t="s">
        <v>209</v>
      </c>
      <c r="C39" s="66" t="s">
        <v>216</v>
      </c>
      <c r="D39" s="66" t="s">
        <v>47</v>
      </c>
      <c r="E39" s="66" t="s">
        <v>78</v>
      </c>
      <c r="F39" s="66" t="s">
        <v>214</v>
      </c>
      <c r="G39" s="66" t="s">
        <v>215</v>
      </c>
      <c r="H39" s="66"/>
      <c r="I39" s="66" t="s">
        <v>41</v>
      </c>
      <c r="J39" s="66"/>
      <c r="K39" s="66">
        <v>0</v>
      </c>
    </row>
    <row r="40" spans="1:11">
      <c r="A40" s="66">
        <v>33</v>
      </c>
      <c r="B40" s="66" t="s">
        <v>195</v>
      </c>
      <c r="C40" s="66" t="s">
        <v>218</v>
      </c>
      <c r="D40" s="66" t="s">
        <v>47</v>
      </c>
      <c r="E40" s="66" t="s">
        <v>78</v>
      </c>
      <c r="F40" s="66" t="s">
        <v>217</v>
      </c>
      <c r="G40" s="66" t="s">
        <v>226</v>
      </c>
      <c r="H40" s="66"/>
      <c r="I40" s="66" t="s">
        <v>41</v>
      </c>
      <c r="J40" s="66"/>
      <c r="K40" s="66">
        <v>0</v>
      </c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825500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4673600</xdr:colOff>
                    <xdr:row>0</xdr:row>
                    <xdr:rowOff>127000</xdr:rowOff>
                  </from>
                  <to>
                    <xdr:col>8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40"/>
  <sheetViews>
    <sheetView workbookViewId="0">
      <selection activeCell="L28" sqref="L2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4" t="s">
        <v>191</v>
      </c>
      <c r="B1" s="125"/>
      <c r="C1" s="125"/>
      <c r="D1" s="125"/>
      <c r="E1" s="125"/>
      <c r="F1" s="125"/>
      <c r="G1" s="125"/>
      <c r="H1" s="125"/>
      <c r="I1" s="126"/>
    </row>
    <row r="2" spans="1:11" ht="18" customHeight="1">
      <c r="A2" s="127"/>
      <c r="B2" s="128"/>
      <c r="C2" s="128"/>
      <c r="D2" s="128"/>
      <c r="E2" s="128"/>
      <c r="F2" s="128"/>
      <c r="G2" s="128"/>
      <c r="H2" s="128"/>
      <c r="I2" s="129"/>
    </row>
    <row r="3" spans="1:11" ht="18" customHeight="1">
      <c r="A3" s="127"/>
      <c r="B3" s="128"/>
      <c r="C3" s="128"/>
      <c r="D3" s="128"/>
      <c r="E3" s="128"/>
      <c r="F3" s="128"/>
      <c r="G3" s="128"/>
      <c r="H3" s="128"/>
      <c r="I3" s="129"/>
    </row>
    <row r="4" spans="1:11" ht="18" customHeight="1">
      <c r="A4" s="127"/>
      <c r="B4" s="128"/>
      <c r="C4" s="128"/>
      <c r="D4" s="128"/>
      <c r="E4" s="128"/>
      <c r="F4" s="128">
        <v>12</v>
      </c>
      <c r="G4" s="128"/>
      <c r="H4" s="128"/>
      <c r="I4" s="129"/>
    </row>
    <row r="5" spans="1:11" ht="18" customHeight="1">
      <c r="A5" s="130"/>
      <c r="B5" s="131"/>
      <c r="C5" s="131"/>
      <c r="D5" s="131"/>
      <c r="E5" s="131"/>
      <c r="F5" s="131"/>
      <c r="G5" s="131"/>
      <c r="H5" s="131"/>
      <c r="I5" s="132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241</v>
      </c>
    </row>
    <row r="8" spans="1:11">
      <c r="A8" s="70">
        <v>1</v>
      </c>
      <c r="B8" s="71" t="s">
        <v>44</v>
      </c>
      <c r="C8" s="71" t="s">
        <v>45</v>
      </c>
      <c r="D8" s="71" t="s">
        <v>47</v>
      </c>
      <c r="E8" s="71" t="s">
        <v>48</v>
      </c>
      <c r="F8" s="71" t="s">
        <v>48</v>
      </c>
      <c r="G8" s="71" t="s">
        <v>50</v>
      </c>
      <c r="H8" s="71"/>
      <c r="I8" s="71" t="s">
        <v>41</v>
      </c>
      <c r="J8" s="66"/>
      <c r="K8" s="66">
        <v>2</v>
      </c>
    </row>
    <row r="9" spans="1:11">
      <c r="A9" s="70">
        <v>2</v>
      </c>
      <c r="B9" s="71" t="s">
        <v>44</v>
      </c>
      <c r="C9" s="71" t="s">
        <v>42</v>
      </c>
      <c r="D9" s="71" t="s">
        <v>47</v>
      </c>
      <c r="E9" s="71" t="s">
        <v>48</v>
      </c>
      <c r="F9" s="71" t="s">
        <v>52</v>
      </c>
      <c r="G9" s="71" t="s">
        <v>53</v>
      </c>
      <c r="H9" s="71"/>
      <c r="I9" s="71" t="s">
        <v>54</v>
      </c>
      <c r="J9" s="66"/>
      <c r="K9" s="66" t="s">
        <v>331</v>
      </c>
    </row>
    <row r="10" spans="1:11">
      <c r="A10" s="70">
        <v>3</v>
      </c>
      <c r="B10" s="71" t="s">
        <v>44</v>
      </c>
      <c r="C10" s="71" t="s">
        <v>46</v>
      </c>
      <c r="D10" s="71" t="s">
        <v>47</v>
      </c>
      <c r="E10" s="71" t="s">
        <v>48</v>
      </c>
      <c r="F10" s="71" t="s">
        <v>55</v>
      </c>
      <c r="G10" s="71" t="s">
        <v>60</v>
      </c>
      <c r="H10" s="71" t="s">
        <v>56</v>
      </c>
      <c r="I10" s="71" t="s">
        <v>57</v>
      </c>
      <c r="J10" s="66"/>
      <c r="K10" s="66" t="s">
        <v>331</v>
      </c>
    </row>
    <row r="11" spans="1:11">
      <c r="A11" s="70">
        <v>4</v>
      </c>
      <c r="B11" s="71" t="s">
        <v>44</v>
      </c>
      <c r="C11" s="71" t="s">
        <v>62</v>
      </c>
      <c r="D11" s="71" t="s">
        <v>47</v>
      </c>
      <c r="E11" s="71" t="s">
        <v>48</v>
      </c>
      <c r="F11" s="71" t="s">
        <v>58</v>
      </c>
      <c r="G11" s="71" t="s">
        <v>59</v>
      </c>
      <c r="H11" s="71" t="s">
        <v>61</v>
      </c>
      <c r="I11" s="71" t="s">
        <v>57</v>
      </c>
      <c r="J11" s="66"/>
      <c r="K11" s="66" t="s">
        <v>331</v>
      </c>
    </row>
    <row r="12" spans="1:11" ht="38">
      <c r="A12" s="70">
        <v>18</v>
      </c>
      <c r="B12" s="71" t="s">
        <v>209</v>
      </c>
      <c r="C12" s="71" t="s">
        <v>247</v>
      </c>
      <c r="D12" s="71" t="s">
        <v>244</v>
      </c>
      <c r="E12" s="71" t="s">
        <v>48</v>
      </c>
      <c r="F12" s="71" t="s">
        <v>323</v>
      </c>
      <c r="G12" s="71" t="s">
        <v>248</v>
      </c>
      <c r="H12" s="72" t="s">
        <v>324</v>
      </c>
      <c r="I12" s="71" t="s">
        <v>41</v>
      </c>
      <c r="J12" s="74"/>
      <c r="K12" s="66" t="s">
        <v>331</v>
      </c>
    </row>
    <row r="13" spans="1:11" ht="38">
      <c r="A13" s="70">
        <v>19</v>
      </c>
      <c r="B13" s="71" t="s">
        <v>209</v>
      </c>
      <c r="C13" s="71" t="s">
        <v>258</v>
      </c>
      <c r="D13" s="71" t="s">
        <v>244</v>
      </c>
      <c r="E13" s="71" t="s">
        <v>48</v>
      </c>
      <c r="F13" s="71" t="s">
        <v>325</v>
      </c>
      <c r="G13" s="72" t="s">
        <v>326</v>
      </c>
      <c r="H13" s="72" t="s">
        <v>327</v>
      </c>
      <c r="I13" s="71" t="s">
        <v>41</v>
      </c>
      <c r="J13" s="74"/>
      <c r="K13" s="66" t="s">
        <v>331</v>
      </c>
    </row>
    <row r="14" spans="1:11" ht="38">
      <c r="A14" s="70">
        <v>20</v>
      </c>
      <c r="B14" s="71" t="s">
        <v>209</v>
      </c>
      <c r="C14" s="71" t="s">
        <v>261</v>
      </c>
      <c r="D14" s="71" t="s">
        <v>244</v>
      </c>
      <c r="E14" s="71" t="s">
        <v>48</v>
      </c>
      <c r="F14" s="71" t="s">
        <v>251</v>
      </c>
      <c r="G14" s="72" t="s">
        <v>328</v>
      </c>
      <c r="H14" s="72" t="s">
        <v>329</v>
      </c>
      <c r="I14" s="71" t="s">
        <v>41</v>
      </c>
      <c r="J14" s="74"/>
      <c r="K14" s="66" t="s">
        <v>331</v>
      </c>
    </row>
    <row r="15" spans="1:11" ht="38">
      <c r="A15" s="70">
        <v>5</v>
      </c>
      <c r="B15" s="71" t="s">
        <v>44</v>
      </c>
      <c r="C15" s="71" t="s">
        <v>64</v>
      </c>
      <c r="D15" s="71" t="s">
        <v>47</v>
      </c>
      <c r="E15" s="71" t="s">
        <v>49</v>
      </c>
      <c r="F15" s="71" t="s">
        <v>49</v>
      </c>
      <c r="G15" s="71" t="s">
        <v>63</v>
      </c>
      <c r="H15" s="72" t="s">
        <v>239</v>
      </c>
      <c r="I15" s="71" t="s">
        <v>41</v>
      </c>
      <c r="J15" s="66"/>
      <c r="K15" s="66">
        <v>1</v>
      </c>
    </row>
    <row r="16" spans="1:11">
      <c r="A16" s="70">
        <v>6</v>
      </c>
      <c r="B16" s="71" t="s">
        <v>44</v>
      </c>
      <c r="C16" s="71" t="s">
        <v>67</v>
      </c>
      <c r="D16" s="71" t="s">
        <v>47</v>
      </c>
      <c r="E16" s="71" t="s">
        <v>49</v>
      </c>
      <c r="F16" s="71" t="s">
        <v>65</v>
      </c>
      <c r="G16" s="71" t="s">
        <v>66</v>
      </c>
      <c r="H16" s="71" t="s">
        <v>240</v>
      </c>
      <c r="I16" s="71" t="s">
        <v>57</v>
      </c>
      <c r="J16" s="66"/>
      <c r="K16" s="66" t="s">
        <v>243</v>
      </c>
    </row>
    <row r="17" spans="1:11">
      <c r="A17" s="70">
        <v>7</v>
      </c>
      <c r="B17" s="71" t="s">
        <v>44</v>
      </c>
      <c r="C17" s="71" t="s">
        <v>71</v>
      </c>
      <c r="D17" s="71" t="s">
        <v>47</v>
      </c>
      <c r="E17" s="71" t="s">
        <v>49</v>
      </c>
      <c r="F17" s="71" t="s">
        <v>68</v>
      </c>
      <c r="G17" s="71" t="s">
        <v>69</v>
      </c>
      <c r="H17" s="71" t="s">
        <v>70</v>
      </c>
      <c r="I17" s="71" t="s">
        <v>57</v>
      </c>
      <c r="J17" s="66"/>
      <c r="K17" s="66" t="s">
        <v>243</v>
      </c>
    </row>
    <row r="18" spans="1:11" ht="38">
      <c r="A18" s="70">
        <v>21</v>
      </c>
      <c r="B18" s="71" t="s">
        <v>209</v>
      </c>
      <c r="C18" s="71" t="s">
        <v>266</v>
      </c>
      <c r="D18" s="71" t="s">
        <v>244</v>
      </c>
      <c r="E18" s="71" t="s">
        <v>49</v>
      </c>
      <c r="F18" s="71" t="s">
        <v>255</v>
      </c>
      <c r="G18" s="71" t="s">
        <v>256</v>
      </c>
      <c r="H18" s="72" t="s">
        <v>257</v>
      </c>
      <c r="I18" s="71" t="s">
        <v>41</v>
      </c>
      <c r="J18" s="74"/>
      <c r="K18" s="66" t="s">
        <v>243</v>
      </c>
    </row>
    <row r="19" spans="1:11" ht="57">
      <c r="A19" s="70">
        <v>22</v>
      </c>
      <c r="B19" s="71" t="s">
        <v>209</v>
      </c>
      <c r="C19" s="71" t="s">
        <v>269</v>
      </c>
      <c r="D19" s="71" t="s">
        <v>244</v>
      </c>
      <c r="E19" s="71" t="s">
        <v>49</v>
      </c>
      <c r="F19" s="71" t="s">
        <v>263</v>
      </c>
      <c r="G19" s="71" t="s">
        <v>264</v>
      </c>
      <c r="H19" s="72" t="s">
        <v>265</v>
      </c>
      <c r="I19" s="71" t="s">
        <v>41</v>
      </c>
      <c r="J19" s="74"/>
      <c r="K19" s="66" t="s">
        <v>243</v>
      </c>
    </row>
    <row r="20" spans="1:11">
      <c r="A20" s="70">
        <v>8</v>
      </c>
      <c r="B20" s="71" t="s">
        <v>188</v>
      </c>
      <c r="C20" s="71" t="s">
        <v>73</v>
      </c>
      <c r="D20" s="71" t="s">
        <v>47</v>
      </c>
      <c r="E20" s="71" t="s">
        <v>78</v>
      </c>
      <c r="F20" s="71" t="s">
        <v>75</v>
      </c>
      <c r="G20" s="71" t="s">
        <v>76</v>
      </c>
      <c r="H20" s="71" t="s">
        <v>77</v>
      </c>
      <c r="I20" s="71" t="s">
        <v>41</v>
      </c>
      <c r="J20" s="66"/>
      <c r="K20" s="66">
        <v>1</v>
      </c>
    </row>
    <row r="21" spans="1:11">
      <c r="A21" s="70">
        <v>9</v>
      </c>
      <c r="B21" s="70" t="s">
        <v>25</v>
      </c>
      <c r="C21" s="70" t="s">
        <v>81</v>
      </c>
      <c r="D21" s="70" t="s">
        <v>47</v>
      </c>
      <c r="E21" s="70" t="s">
        <v>78</v>
      </c>
      <c r="F21" s="70" t="s">
        <v>79</v>
      </c>
      <c r="G21" s="70" t="s">
        <v>80</v>
      </c>
      <c r="H21" s="70"/>
      <c r="I21" s="70" t="s">
        <v>57</v>
      </c>
      <c r="J21" s="66"/>
      <c r="K21" s="66" t="s">
        <v>243</v>
      </c>
    </row>
    <row r="22" spans="1:11">
      <c r="A22" s="70">
        <v>10</v>
      </c>
      <c r="B22" s="70" t="s">
        <v>25</v>
      </c>
      <c r="C22" s="70" t="s">
        <v>82</v>
      </c>
      <c r="D22" s="70" t="s">
        <v>74</v>
      </c>
      <c r="E22" s="70" t="s">
        <v>78</v>
      </c>
      <c r="F22" s="70" t="s">
        <v>85</v>
      </c>
      <c r="G22" s="70" t="s">
        <v>86</v>
      </c>
      <c r="H22" s="70"/>
      <c r="I22" s="70" t="s">
        <v>54</v>
      </c>
      <c r="J22" s="66"/>
      <c r="K22" s="66" t="s">
        <v>243</v>
      </c>
    </row>
    <row r="23" spans="1:11">
      <c r="A23" s="70">
        <v>11</v>
      </c>
      <c r="B23" s="70" t="s">
        <v>25</v>
      </c>
      <c r="C23" s="70" t="s">
        <v>87</v>
      </c>
      <c r="D23" s="70" t="s">
        <v>47</v>
      </c>
      <c r="E23" s="70" t="s">
        <v>78</v>
      </c>
      <c r="F23" s="70" t="s">
        <v>83</v>
      </c>
      <c r="G23" s="70" t="s">
        <v>220</v>
      </c>
      <c r="H23" s="70" t="s">
        <v>84</v>
      </c>
      <c r="I23" s="70" t="s">
        <v>43</v>
      </c>
      <c r="J23" s="66"/>
      <c r="K23" s="66" t="s">
        <v>243</v>
      </c>
    </row>
    <row r="24" spans="1:11" ht="38">
      <c r="A24" s="70">
        <v>12</v>
      </c>
      <c r="B24" s="70" t="s">
        <v>13</v>
      </c>
      <c r="C24" s="70" t="s">
        <v>92</v>
      </c>
      <c r="D24" s="70" t="s">
        <v>14</v>
      </c>
      <c r="E24" s="70" t="s">
        <v>88</v>
      </c>
      <c r="F24" s="70" t="s">
        <v>90</v>
      </c>
      <c r="G24" s="73" t="s">
        <v>100</v>
      </c>
      <c r="H24" s="70" t="s">
        <v>91</v>
      </c>
      <c r="I24" s="70" t="s">
        <v>43</v>
      </c>
      <c r="J24" s="74"/>
      <c r="K24" s="66">
        <v>5</v>
      </c>
    </row>
    <row r="25" spans="1:11" ht="57">
      <c r="A25" s="70">
        <v>23</v>
      </c>
      <c r="B25" s="71" t="s">
        <v>209</v>
      </c>
      <c r="C25" s="71" t="s">
        <v>272</v>
      </c>
      <c r="D25" s="71" t="s">
        <v>244</v>
      </c>
      <c r="E25" s="71" t="s">
        <v>88</v>
      </c>
      <c r="F25" s="71" t="s">
        <v>260</v>
      </c>
      <c r="G25" s="71" t="s">
        <v>262</v>
      </c>
      <c r="H25" s="72" t="s">
        <v>299</v>
      </c>
      <c r="I25" s="71" t="s">
        <v>41</v>
      </c>
      <c r="J25" s="74"/>
      <c r="K25" s="66" t="s">
        <v>333</v>
      </c>
    </row>
    <row r="26" spans="1:11">
      <c r="A26" s="70">
        <v>13</v>
      </c>
      <c r="B26" s="70" t="s">
        <v>13</v>
      </c>
      <c r="C26" s="70" t="s">
        <v>94</v>
      </c>
      <c r="D26" s="70" t="s">
        <v>47</v>
      </c>
      <c r="E26" s="70" t="s">
        <v>88</v>
      </c>
      <c r="F26" s="70" t="s">
        <v>93</v>
      </c>
      <c r="G26" s="70" t="s">
        <v>96</v>
      </c>
      <c r="H26" s="70" t="s">
        <v>280</v>
      </c>
      <c r="I26" s="70" t="s">
        <v>43</v>
      </c>
      <c r="J26" s="74"/>
      <c r="K26" s="66">
        <v>1</v>
      </c>
    </row>
    <row r="27" spans="1:11" ht="38">
      <c r="A27" s="70">
        <v>25</v>
      </c>
      <c r="B27" s="71" t="s">
        <v>209</v>
      </c>
      <c r="C27" s="71" t="s">
        <v>285</v>
      </c>
      <c r="D27" s="71" t="s">
        <v>244</v>
      </c>
      <c r="E27" s="71" t="s">
        <v>88</v>
      </c>
      <c r="F27" s="71" t="s">
        <v>273</v>
      </c>
      <c r="G27" s="71" t="s">
        <v>271</v>
      </c>
      <c r="H27" s="72" t="s">
        <v>276</v>
      </c>
      <c r="I27" s="71" t="s">
        <v>41</v>
      </c>
      <c r="J27" s="74"/>
      <c r="K27" s="66" t="s">
        <v>243</v>
      </c>
    </row>
    <row r="28" spans="1:11">
      <c r="A28" s="70">
        <v>14</v>
      </c>
      <c r="B28" s="70" t="s">
        <v>44</v>
      </c>
      <c r="C28" s="70" t="s">
        <v>98</v>
      </c>
      <c r="D28" s="70" t="s">
        <v>74</v>
      </c>
      <c r="E28" s="70" t="s">
        <v>88</v>
      </c>
      <c r="F28" s="70" t="s">
        <v>95</v>
      </c>
      <c r="G28" s="70" t="s">
        <v>97</v>
      </c>
      <c r="H28" s="75"/>
      <c r="I28" s="70" t="s">
        <v>43</v>
      </c>
      <c r="J28" s="74"/>
      <c r="K28" s="66">
        <v>1</v>
      </c>
    </row>
    <row r="29" spans="1:11" ht="38">
      <c r="A29" s="70">
        <v>26</v>
      </c>
      <c r="B29" s="71" t="s">
        <v>209</v>
      </c>
      <c r="C29" s="71" t="s">
        <v>288</v>
      </c>
      <c r="D29" s="71" t="s">
        <v>244</v>
      </c>
      <c r="E29" s="71" t="s">
        <v>88</v>
      </c>
      <c r="F29" s="71" t="s">
        <v>274</v>
      </c>
      <c r="G29" s="71" t="s">
        <v>275</v>
      </c>
      <c r="H29" s="72" t="s">
        <v>276</v>
      </c>
      <c r="I29" s="71" t="s">
        <v>41</v>
      </c>
      <c r="J29" s="74"/>
      <c r="K29" s="66" t="s">
        <v>243</v>
      </c>
    </row>
    <row r="30" spans="1:11">
      <c r="A30" s="70">
        <v>15</v>
      </c>
      <c r="B30" s="70" t="s">
        <v>13</v>
      </c>
      <c r="C30" s="70" t="s">
        <v>101</v>
      </c>
      <c r="D30" s="70" t="s">
        <v>47</v>
      </c>
      <c r="E30" s="70" t="s">
        <v>88</v>
      </c>
      <c r="F30" s="70" t="s">
        <v>99</v>
      </c>
      <c r="G30" s="70" t="s">
        <v>221</v>
      </c>
      <c r="H30" s="70"/>
      <c r="I30" s="70" t="s">
        <v>41</v>
      </c>
      <c r="J30" s="74"/>
      <c r="K30" s="66">
        <v>3</v>
      </c>
    </row>
    <row r="31" spans="1:11" ht="76">
      <c r="A31" s="70">
        <v>24</v>
      </c>
      <c r="B31" s="71" t="s">
        <v>209</v>
      </c>
      <c r="C31" s="71" t="s">
        <v>278</v>
      </c>
      <c r="D31" s="71" t="s">
        <v>244</v>
      </c>
      <c r="E31" s="71" t="s">
        <v>88</v>
      </c>
      <c r="F31" s="71" t="s">
        <v>267</v>
      </c>
      <c r="G31" s="71" t="s">
        <v>268</v>
      </c>
      <c r="H31" s="72" t="s">
        <v>297</v>
      </c>
      <c r="I31" s="71" t="s">
        <v>41</v>
      </c>
      <c r="J31" s="74"/>
      <c r="K31" s="66" t="s">
        <v>335</v>
      </c>
    </row>
    <row r="32" spans="1:11" ht="57">
      <c r="A32" s="70">
        <v>16</v>
      </c>
      <c r="B32" s="71" t="s">
        <v>44</v>
      </c>
      <c r="C32" s="71" t="s">
        <v>246</v>
      </c>
      <c r="D32" s="71" t="s">
        <v>47</v>
      </c>
      <c r="E32" s="71" t="s">
        <v>88</v>
      </c>
      <c r="F32" s="71" t="s">
        <v>281</v>
      </c>
      <c r="G32" s="72" t="s">
        <v>283</v>
      </c>
      <c r="H32" s="71"/>
      <c r="I32" s="71" t="s">
        <v>41</v>
      </c>
      <c r="J32" s="74"/>
      <c r="K32" s="66">
        <v>2</v>
      </c>
    </row>
    <row r="33" spans="1:11" ht="76">
      <c r="A33" s="70">
        <v>27</v>
      </c>
      <c r="B33" s="71" t="s">
        <v>209</v>
      </c>
      <c r="C33" s="71" t="s">
        <v>307</v>
      </c>
      <c r="D33" s="71" t="s">
        <v>244</v>
      </c>
      <c r="E33" s="71" t="s">
        <v>88</v>
      </c>
      <c r="F33" s="71" t="s">
        <v>294</v>
      </c>
      <c r="G33" s="72" t="s">
        <v>311</v>
      </c>
      <c r="H33" s="72" t="s">
        <v>301</v>
      </c>
      <c r="I33" s="71" t="s">
        <v>41</v>
      </c>
      <c r="J33" s="74"/>
      <c r="K33" s="66" t="s">
        <v>331</v>
      </c>
    </row>
    <row r="34" spans="1:11" ht="57">
      <c r="A34" s="70">
        <v>17</v>
      </c>
      <c r="B34" s="71" t="s">
        <v>44</v>
      </c>
      <c r="C34" s="71" t="s">
        <v>315</v>
      </c>
      <c r="D34" s="71" t="s">
        <v>47</v>
      </c>
      <c r="E34" s="71" t="s">
        <v>88</v>
      </c>
      <c r="F34" s="71" t="s">
        <v>304</v>
      </c>
      <c r="G34" s="71" t="s">
        <v>305</v>
      </c>
      <c r="H34" s="72" t="s">
        <v>295</v>
      </c>
      <c r="I34" s="71" t="s">
        <v>41</v>
      </c>
      <c r="J34" s="74"/>
      <c r="K34" s="66" t="s">
        <v>331</v>
      </c>
    </row>
    <row r="35" spans="1:11" ht="76">
      <c r="A35" s="70">
        <v>28</v>
      </c>
      <c r="B35" s="71" t="s">
        <v>209</v>
      </c>
      <c r="C35" s="71" t="s">
        <v>314</v>
      </c>
      <c r="D35" s="71" t="s">
        <v>244</v>
      </c>
      <c r="E35" s="71" t="s">
        <v>88</v>
      </c>
      <c r="F35" s="72" t="s">
        <v>308</v>
      </c>
      <c r="G35" s="71" t="s">
        <v>313</v>
      </c>
      <c r="H35" s="72" t="s">
        <v>310</v>
      </c>
      <c r="I35" s="71" t="s">
        <v>41</v>
      </c>
      <c r="J35" s="74"/>
      <c r="K35" s="66" t="s">
        <v>331</v>
      </c>
    </row>
    <row r="36" spans="1:11" ht="38">
      <c r="A36" s="70">
        <v>29</v>
      </c>
      <c r="B36" s="71" t="s">
        <v>209</v>
      </c>
      <c r="C36" s="71" t="s">
        <v>322</v>
      </c>
      <c r="D36" s="71" t="s">
        <v>244</v>
      </c>
      <c r="E36" s="71" t="s">
        <v>142</v>
      </c>
      <c r="F36" s="71" t="s">
        <v>320</v>
      </c>
      <c r="G36" s="72" t="s">
        <v>316</v>
      </c>
      <c r="H36" s="72" t="s">
        <v>318</v>
      </c>
      <c r="I36" s="70" t="s">
        <v>43</v>
      </c>
      <c r="J36" s="74"/>
      <c r="K36" s="66">
        <v>3</v>
      </c>
    </row>
    <row r="37" spans="1:11">
      <c r="A37" s="70">
        <v>30</v>
      </c>
      <c r="B37" s="70" t="s">
        <v>188</v>
      </c>
      <c r="C37" s="70" t="s">
        <v>208</v>
      </c>
      <c r="D37" s="70" t="s">
        <v>47</v>
      </c>
      <c r="E37" s="70" t="s">
        <v>16</v>
      </c>
      <c r="F37" s="70" t="s">
        <v>206</v>
      </c>
      <c r="G37" s="70" t="s">
        <v>207</v>
      </c>
      <c r="H37" s="70"/>
      <c r="I37" s="70" t="s">
        <v>57</v>
      </c>
      <c r="J37" s="74"/>
      <c r="K37" s="66">
        <v>0</v>
      </c>
    </row>
    <row r="38" spans="1:11">
      <c r="A38" s="70">
        <v>31</v>
      </c>
      <c r="B38" s="70" t="s">
        <v>209</v>
      </c>
      <c r="C38" s="70" t="s">
        <v>213</v>
      </c>
      <c r="D38" s="70" t="s">
        <v>47</v>
      </c>
      <c r="E38" s="70" t="s">
        <v>78</v>
      </c>
      <c r="F38" s="70" t="s">
        <v>210</v>
      </c>
      <c r="G38" s="70" t="s">
        <v>211</v>
      </c>
      <c r="H38" s="70" t="s">
        <v>212</v>
      </c>
      <c r="I38" s="70" t="s">
        <v>43</v>
      </c>
      <c r="J38" s="74"/>
      <c r="K38" s="66">
        <v>0</v>
      </c>
    </row>
    <row r="39" spans="1:11">
      <c r="A39" s="70">
        <v>32</v>
      </c>
      <c r="B39" s="70" t="s">
        <v>209</v>
      </c>
      <c r="C39" s="70" t="s">
        <v>216</v>
      </c>
      <c r="D39" s="70" t="s">
        <v>47</v>
      </c>
      <c r="E39" s="70" t="s">
        <v>78</v>
      </c>
      <c r="F39" s="70" t="s">
        <v>214</v>
      </c>
      <c r="G39" s="70" t="s">
        <v>215</v>
      </c>
      <c r="H39" s="70"/>
      <c r="I39" s="70" t="s">
        <v>41</v>
      </c>
      <c r="J39" s="74"/>
      <c r="K39" s="66">
        <v>0</v>
      </c>
    </row>
    <row r="40" spans="1:11">
      <c r="A40" s="70">
        <v>33</v>
      </c>
      <c r="B40" s="70" t="s">
        <v>195</v>
      </c>
      <c r="C40" s="70" t="s">
        <v>218</v>
      </c>
      <c r="D40" s="70" t="s">
        <v>47</v>
      </c>
      <c r="E40" s="70" t="s">
        <v>78</v>
      </c>
      <c r="F40" s="70" t="s">
        <v>217</v>
      </c>
      <c r="G40" s="70" t="s">
        <v>219</v>
      </c>
      <c r="H40" s="70"/>
      <c r="I40" s="70" t="s">
        <v>41</v>
      </c>
      <c r="J40" s="74"/>
      <c r="K40" s="66">
        <v>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workbookViewId="0">
      <selection activeCell="K8" sqref="K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4" t="s">
        <v>192</v>
      </c>
      <c r="B1" s="125"/>
      <c r="C1" s="125"/>
      <c r="D1" s="125"/>
      <c r="E1" s="125"/>
      <c r="F1" s="125"/>
      <c r="G1" s="125"/>
      <c r="H1" s="125"/>
      <c r="I1" s="126"/>
    </row>
    <row r="2" spans="1:11" ht="18" customHeight="1">
      <c r="A2" s="127"/>
      <c r="B2" s="128"/>
      <c r="C2" s="128"/>
      <c r="D2" s="128"/>
      <c r="E2" s="128"/>
      <c r="F2" s="128"/>
      <c r="G2" s="128"/>
      <c r="H2" s="128"/>
      <c r="I2" s="129"/>
    </row>
    <row r="3" spans="1:11" ht="18" customHeight="1">
      <c r="A3" s="127"/>
      <c r="B3" s="128"/>
      <c r="C3" s="128"/>
      <c r="D3" s="128"/>
      <c r="E3" s="128"/>
      <c r="F3" s="128"/>
      <c r="G3" s="128"/>
      <c r="H3" s="128"/>
      <c r="I3" s="129"/>
    </row>
    <row r="4" spans="1:11" ht="18" customHeight="1">
      <c r="A4" s="127"/>
      <c r="B4" s="128"/>
      <c r="C4" s="128"/>
      <c r="D4" s="128"/>
      <c r="E4" s="128"/>
      <c r="F4" s="128">
        <v>12</v>
      </c>
      <c r="G4" s="128"/>
      <c r="H4" s="128"/>
      <c r="I4" s="129"/>
    </row>
    <row r="5" spans="1:11" ht="18" customHeight="1">
      <c r="A5" s="130"/>
      <c r="B5" s="131"/>
      <c r="C5" s="131"/>
      <c r="D5" s="131"/>
      <c r="E5" s="131"/>
      <c r="F5" s="131"/>
      <c r="G5" s="131"/>
      <c r="H5" s="131"/>
      <c r="I5" s="132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241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8"/>
  <sheetViews>
    <sheetView workbookViewId="0">
      <selection activeCell="K7" sqref="K7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</cols>
  <sheetData>
    <row r="1" spans="1:11" ht="18" customHeight="1">
      <c r="A1" s="124" t="s">
        <v>193</v>
      </c>
      <c r="B1" s="125"/>
      <c r="C1" s="125"/>
      <c r="D1" s="125"/>
      <c r="E1" s="125"/>
      <c r="F1" s="125"/>
      <c r="G1" s="125"/>
      <c r="H1" s="125"/>
      <c r="I1" s="126"/>
    </row>
    <row r="2" spans="1:11" ht="18" customHeight="1">
      <c r="A2" s="127"/>
      <c r="B2" s="128"/>
      <c r="C2" s="128"/>
      <c r="D2" s="128"/>
      <c r="E2" s="128"/>
      <c r="F2" s="128"/>
      <c r="G2" s="128"/>
      <c r="H2" s="128"/>
      <c r="I2" s="129"/>
    </row>
    <row r="3" spans="1:11" ht="18" customHeight="1">
      <c r="A3" s="127"/>
      <c r="B3" s="128"/>
      <c r="C3" s="128"/>
      <c r="D3" s="128"/>
      <c r="E3" s="128"/>
      <c r="F3" s="128"/>
      <c r="G3" s="128"/>
      <c r="H3" s="128"/>
      <c r="I3" s="129"/>
    </row>
    <row r="4" spans="1:11" ht="18" customHeight="1">
      <c r="A4" s="127"/>
      <c r="B4" s="128"/>
      <c r="C4" s="128"/>
      <c r="D4" s="128"/>
      <c r="E4" s="128"/>
      <c r="F4" s="128">
        <v>12</v>
      </c>
      <c r="G4" s="128"/>
      <c r="H4" s="128"/>
      <c r="I4" s="129"/>
    </row>
    <row r="5" spans="1:11" ht="18" customHeight="1">
      <c r="A5" s="130"/>
      <c r="B5" s="131"/>
      <c r="C5" s="131"/>
      <c r="D5" s="131"/>
      <c r="E5" s="131"/>
      <c r="F5" s="131"/>
      <c r="G5" s="131"/>
      <c r="H5" s="131"/>
      <c r="I5" s="132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238</v>
      </c>
    </row>
    <row r="8" spans="1:11">
      <c r="J8" s="51"/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K8" sqref="K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4" t="s">
        <v>194</v>
      </c>
      <c r="B1" s="125"/>
      <c r="C1" s="125"/>
      <c r="D1" s="125"/>
      <c r="E1" s="125"/>
      <c r="F1" s="125"/>
      <c r="G1" s="125"/>
      <c r="H1" s="125"/>
      <c r="I1" s="126"/>
    </row>
    <row r="2" spans="1:11" ht="18" customHeight="1">
      <c r="A2" s="127"/>
      <c r="B2" s="128"/>
      <c r="C2" s="128"/>
      <c r="D2" s="128"/>
      <c r="E2" s="128"/>
      <c r="F2" s="128"/>
      <c r="G2" s="128"/>
      <c r="H2" s="128"/>
      <c r="I2" s="129"/>
    </row>
    <row r="3" spans="1:11" ht="18" customHeight="1">
      <c r="A3" s="127"/>
      <c r="B3" s="128"/>
      <c r="C3" s="128"/>
      <c r="D3" s="128"/>
      <c r="E3" s="128"/>
      <c r="F3" s="128"/>
      <c r="G3" s="128"/>
      <c r="H3" s="128"/>
      <c r="I3" s="129"/>
    </row>
    <row r="4" spans="1:11" ht="18" customHeight="1">
      <c r="A4" s="127"/>
      <c r="B4" s="128"/>
      <c r="C4" s="128"/>
      <c r="D4" s="128"/>
      <c r="E4" s="128"/>
      <c r="F4" s="128">
        <v>12</v>
      </c>
      <c r="G4" s="128"/>
      <c r="H4" s="128"/>
      <c r="I4" s="129"/>
    </row>
    <row r="5" spans="1:11" ht="18" customHeight="1">
      <c r="A5" s="130"/>
      <c r="B5" s="131"/>
      <c r="C5" s="131"/>
      <c r="D5" s="131"/>
      <c r="E5" s="131"/>
      <c r="F5" s="131"/>
      <c r="G5" s="131"/>
      <c r="H5" s="131"/>
      <c r="I5" s="132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241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2022-01-12T11:26:25Z</dcterms:modified>
</cp:coreProperties>
</file>