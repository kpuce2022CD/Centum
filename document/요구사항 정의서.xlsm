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74CE5202-8892-7D4F-B4FE-3C68962DC08D}" xr6:coauthVersionLast="47" xr6:coauthVersionMax="47" xr10:uidLastSave="{00000000-0000-0000-0000-000000000000}"/>
  <bookViews>
    <workbookView xWindow="0" yWindow="520" windowWidth="35840" windowHeight="21900" activeTab="1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F3" i="2"/>
  <c r="D3" i="2"/>
</calcChain>
</file>

<file path=xl/sharedStrings.xml><?xml version="1.0" encoding="utf-8"?>
<sst xmlns="http://schemas.openxmlformats.org/spreadsheetml/2006/main" count="709" uniqueCount="245">
  <si>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</si>
  <si>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</si>
  <si>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</si>
  <si>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</si>
  <si>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</si>
  <si>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</si>
  <si>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</si>
  <si>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</si>
  <si>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</si>
  <si>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</si>
  <si>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</si>
  <si>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</si>
  <si>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</si>
  <si>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</si>
  <si>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</si>
  <si>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</si>
  <si>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</si>
  <si>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</si>
  <si>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</si>
  <si>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</si>
  <si>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</si>
  <si>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</si>
  <si>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</si>
  <si>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</si>
  <si>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</si>
  <si>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</si>
  <si>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</si>
  <si>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</si>
  <si>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</si>
  <si>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</si>
  <si>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</si>
  <si>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</si>
  <si>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</si>
  <si>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</si>
  <si>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</si>
  <si>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</si>
  <si>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</si>
  <si>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</si>
  <si>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</si>
  <si>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</si>
  <si>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</si>
  <si>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</si>
  <si>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</si>
  <si>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</si>
  <si>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</si>
  <si>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</si>
  <si>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</si>
  <si>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</si>
  <si>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</si>
  <si>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</si>
  <si>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</si>
  <si>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</si>
  <si>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</si>
  <si>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</si>
  <si>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</si>
  <si>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</si>
  <si>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</si>
  <si>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</si>
  <si>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</si>
  <si>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</si>
  <si>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</si>
  <si>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</si>
  <si>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</si>
  <si>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</si>
  <si>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</si>
  <si>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</si>
  <si>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</si>
  <si>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</si>
  <si>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</si>
  <si>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</si>
  <si>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</si>
  <si>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</si>
  <si>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</si>
  <si>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</si>
  <si>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</si>
  <si>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</si>
  <si>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</si>
  <si>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</si>
  <si>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</si>
  <si>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</si>
  <si>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</si>
  <si>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</si>
  <si>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</si>
  <si>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</si>
  <si>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</si>
  <si>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</si>
  <si>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</si>
  <si>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</si>
  <si>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</si>
  <si>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</si>
  <si>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</si>
  <si>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</si>
  <si>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</si>
  <si>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</si>
  <si>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</si>
  <si>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</si>
  <si>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</si>
  <si>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</si>
  <si>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</si>
  <si>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</si>
  <si>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</si>
  <si>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</si>
  <si>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</si>
  <si>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</si>
  <si>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</si>
  <si>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</si>
  <si>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</si>
  <si>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</si>
  <si>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</si>
  <si>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</si>
  <si>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</si>
  <si>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</si>
  <si>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</si>
  <si>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</si>
  <si>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</si>
  <si>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</si>
  <si>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</si>
  <si>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</si>
  <si>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</si>
  <si>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</si>
  <si>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</si>
  <si>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</si>
  <si>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</si>
  <si>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</si>
  <si>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</si>
  <si>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</si>
  <si>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</si>
  <si>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</si>
  <si>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</si>
  <si>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</si>
  <si>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</si>
  <si>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</si>
  <si>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</si>
  <si>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</si>
  <si>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</si>
  <si>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</si>
  <si>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</si>
  <si>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</si>
  <si>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</si>
  <si>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</si>
  <si>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</si>
  <si>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</si>
  <si>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</si>
  <si>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</si>
  <si>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</si>
  <si>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</si>
  <si>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</si>
  <si>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</si>
  <si>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</si>
  <si>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</si>
  <si>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</si>
  <si>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</si>
  <si>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</si>
  <si>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</si>
  <si>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</si>
  <si>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</si>
  <si>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</si>
  <si>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</si>
  <si>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</si>
  <si>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</si>
  <si>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</si>
  <si>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</si>
  <si>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</si>
  <si>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</si>
  <si>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</si>
  <si>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</si>
  <si>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</si>
  <si>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</si>
  <si>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</si>
  <si>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</si>
  <si>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</si>
  <si>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</si>
  <si>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</si>
  <si>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</si>
  <si>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</si>
  <si>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</si>
  <si>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</si>
  <si>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</si>
  <si>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</si>
  <si>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</si>
  <si>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</si>
  <si>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</si>
  <si>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</si>
  <si>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</si>
  <si>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</si>
  <si>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</si>
  <si>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</si>
  <si>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</si>
  <si>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</si>
  <si>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</si>
  <si>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</si>
  <si>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</si>
  <si>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</si>
  <si>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</si>
  <si>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</si>
  <si>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</si>
  <si>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</si>
  <si>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</si>
  <si>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</si>
  <si>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</si>
  <si>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</si>
  <si>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</si>
  <si>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</si>
  <si>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</si>
  <si>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</si>
  <si>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</si>
  <si>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</si>
  <si>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</si>
  <si>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</si>
  <si>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</si>
  <si>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</si>
  <si>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</si>
  <si>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</si>
  <si>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</si>
  <si>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</si>
  <si>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</si>
  <si>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</si>
  <si>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</si>
  <si>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</si>
  <si>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</si>
  <si>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</si>
  <si>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</si>
  <si>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</si>
  <si>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</si>
  <si>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</si>
  <si>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</si>
  <si>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</si>
  <si>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</si>
  <si>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</si>
  <si>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</si>
  <si>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</si>
  <si>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</si>
  <si>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</si>
  <si>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제약사항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</si>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</sst>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23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5" fillId="0" borderId="25" xfId="0" applyFont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38100</xdr:rowOff>
        </xdr:from>
        <xdr:to>
          <xdr:col>11</xdr:col>
          <xdr:colOff>774700</xdr:colOff>
          <xdr:row>7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topLeftCell="A43" workbookViewId="0">
      <selection activeCell="F68" sqref="F68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7"/>
  </cols>
  <sheetData>
    <row r="1" spans="1:15" ht="18" customHeight="1">
      <c r="A1" s="74" t="s">
        <v>29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6"/>
    </row>
    <row r="2" spans="1:15" ht="18" customHeight="1">
      <c r="A2" s="77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9"/>
    </row>
    <row r="3" spans="1:15" ht="18" customHeight="1">
      <c r="A3" s="80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2"/>
      <c r="O3" s="37"/>
    </row>
    <row r="4" spans="1:15">
      <c r="A4" s="18" t="s">
        <v>31</v>
      </c>
      <c r="B4" s="17" t="s">
        <v>225</v>
      </c>
      <c r="C4" s="18" t="s">
        <v>8</v>
      </c>
      <c r="D4" s="17" t="s">
        <v>32</v>
      </c>
      <c r="E4" s="18" t="s">
        <v>33</v>
      </c>
      <c r="F4" s="16">
        <v>44571</v>
      </c>
      <c r="G4" s="19"/>
      <c r="H4" s="19"/>
      <c r="I4" s="19"/>
      <c r="J4" s="19"/>
      <c r="K4" s="19"/>
      <c r="L4" s="19"/>
      <c r="M4" s="37"/>
      <c r="N4" s="19"/>
      <c r="O4" s="37"/>
    </row>
    <row r="5" spans="1:1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37"/>
      <c r="N5" s="19"/>
      <c r="O5" s="37"/>
    </row>
    <row r="6" spans="1:15">
      <c r="A6" s="83" t="s">
        <v>38</v>
      </c>
      <c r="B6" s="84"/>
      <c r="C6" s="84"/>
      <c r="D6" s="85"/>
      <c r="E6" s="19"/>
      <c r="F6" s="19"/>
      <c r="G6" s="19"/>
      <c r="H6" s="19"/>
      <c r="I6" s="19"/>
      <c r="J6" s="19"/>
      <c r="K6" s="19"/>
      <c r="L6" s="19"/>
      <c r="M6" s="37"/>
      <c r="N6" s="19"/>
      <c r="O6" s="37"/>
    </row>
    <row r="7" spans="1:15">
      <c r="A7" s="86"/>
      <c r="B7" s="87"/>
      <c r="C7" s="87"/>
      <c r="D7" s="88"/>
      <c r="E7" s="19"/>
      <c r="F7" s="19"/>
      <c r="G7" s="19"/>
      <c r="H7" s="19"/>
      <c r="I7" s="19"/>
      <c r="J7" s="19"/>
      <c r="K7" s="19"/>
      <c r="L7" s="19"/>
      <c r="M7" s="37"/>
      <c r="N7" s="19"/>
      <c r="O7" s="37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7"/>
    </row>
    <row r="9" spans="1:15" ht="19">
      <c r="A9" s="39"/>
      <c r="B9" s="22" t="s">
        <v>233</v>
      </c>
      <c r="C9" s="39"/>
      <c r="D9" s="22" t="s">
        <v>47</v>
      </c>
      <c r="E9" s="22" t="s">
        <v>78</v>
      </c>
      <c r="F9" s="22" t="s">
        <v>222</v>
      </c>
      <c r="G9" s="26" t="s">
        <v>224</v>
      </c>
      <c r="H9" s="26"/>
      <c r="I9" s="22" t="s">
        <v>32</v>
      </c>
      <c r="J9" s="40"/>
      <c r="K9" s="39"/>
      <c r="L9" s="39"/>
      <c r="M9" s="41"/>
      <c r="N9" s="22" t="s">
        <v>43</v>
      </c>
      <c r="O9" s="37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7"/>
      <c r="N10" s="19"/>
      <c r="O10" s="37"/>
    </row>
    <row r="11" spans="1:15">
      <c r="A11" s="89" t="s">
        <v>39</v>
      </c>
      <c r="B11" s="89"/>
      <c r="C11" s="89"/>
      <c r="D11" s="89"/>
      <c r="E11" s="15" t="s">
        <v>0</v>
      </c>
      <c r="F11" s="38"/>
      <c r="G11" s="19"/>
      <c r="H11" s="19"/>
      <c r="I11" s="19"/>
      <c r="J11" s="19"/>
      <c r="K11" s="19"/>
      <c r="L11" s="19"/>
      <c r="M11" s="37"/>
      <c r="N11" s="19"/>
      <c r="O11" s="37"/>
    </row>
    <row r="12" spans="1:15">
      <c r="A12" s="89"/>
      <c r="B12" s="89"/>
      <c r="C12" s="89"/>
      <c r="D12" s="89"/>
      <c r="E12" s="22" t="s">
        <v>170</v>
      </c>
      <c r="F12" s="38"/>
      <c r="G12" s="19"/>
      <c r="H12" s="19"/>
      <c r="I12" s="19"/>
      <c r="J12" s="19"/>
      <c r="K12" s="19"/>
      <c r="L12" s="19"/>
      <c r="M12" s="37"/>
      <c r="N12" s="19"/>
      <c r="O12" s="37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7"/>
      <c r="N13" s="19"/>
      <c r="O13" s="37"/>
    </row>
    <row r="14" spans="1:15">
      <c r="A14" s="83" t="s">
        <v>40</v>
      </c>
      <c r="B14" s="84"/>
      <c r="C14" s="84"/>
      <c r="D14" s="85"/>
      <c r="E14" s="15" t="s">
        <v>0</v>
      </c>
      <c r="F14" s="19"/>
      <c r="G14" s="19"/>
      <c r="H14" s="19"/>
      <c r="I14" s="19"/>
      <c r="J14" s="19"/>
      <c r="K14" s="19"/>
      <c r="L14" s="19"/>
      <c r="M14" s="37"/>
      <c r="N14" s="19"/>
      <c r="O14" s="37"/>
    </row>
    <row r="15" spans="1:15">
      <c r="A15" s="86"/>
      <c r="B15" s="87"/>
      <c r="C15" s="87"/>
      <c r="D15" s="88"/>
      <c r="E15" s="22" t="s">
        <v>237</v>
      </c>
      <c r="F15" s="19"/>
      <c r="G15" s="19"/>
      <c r="H15" s="19"/>
      <c r="I15" s="19"/>
      <c r="J15" s="19"/>
      <c r="K15" s="19"/>
      <c r="L15" s="19"/>
      <c r="M15" s="37"/>
      <c r="N15" s="19"/>
      <c r="O15" s="37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7"/>
    </row>
    <row r="17" spans="1:15">
      <c r="A17" s="22">
        <v>44</v>
      </c>
      <c r="B17" s="22" t="s">
        <v>26</v>
      </c>
      <c r="C17" s="22" t="s">
        <v>237</v>
      </c>
      <c r="D17" s="22" t="s">
        <v>17</v>
      </c>
      <c r="E17" s="22" t="s">
        <v>16</v>
      </c>
      <c r="F17" s="22" t="s">
        <v>238</v>
      </c>
      <c r="G17" s="22" t="s">
        <v>239</v>
      </c>
      <c r="H17" s="26"/>
      <c r="I17" s="22" t="s">
        <v>32</v>
      </c>
      <c r="J17" s="36">
        <v>44571</v>
      </c>
      <c r="K17" s="22"/>
      <c r="L17" s="22"/>
      <c r="M17" s="22"/>
      <c r="N17" s="22" t="s">
        <v>43</v>
      </c>
      <c r="O17" s="37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7"/>
      <c r="N18" s="19"/>
      <c r="O18" s="37"/>
    </row>
    <row r="19" spans="1:15">
      <c r="A19" s="90" t="s">
        <v>21</v>
      </c>
      <c r="B19" s="91"/>
      <c r="C19" s="91"/>
      <c r="D19" s="91"/>
      <c r="E19" s="91"/>
      <c r="F19" s="92"/>
      <c r="G19" s="73" t="s">
        <v>22</v>
      </c>
      <c r="H19" s="73"/>
      <c r="I19" s="73" t="s">
        <v>23</v>
      </c>
      <c r="J19" s="73"/>
      <c r="K19" s="73" t="s">
        <v>11</v>
      </c>
      <c r="L19" s="73"/>
      <c r="M19" s="73"/>
      <c r="N19" s="21" t="s">
        <v>30</v>
      </c>
      <c r="O19" s="57" t="s">
        <v>234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8" t="s">
        <v>234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9" t="s">
        <v>41</v>
      </c>
      <c r="O21" s="62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60" t="s">
        <v>54</v>
      </c>
      <c r="O22" s="63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60" t="s">
        <v>57</v>
      </c>
      <c r="O23" s="63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60" t="s">
        <v>57</v>
      </c>
      <c r="O24" s="63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2" t="s">
        <v>145</v>
      </c>
      <c r="I25" s="25" t="s">
        <v>51</v>
      </c>
      <c r="J25" s="30">
        <v>44567</v>
      </c>
      <c r="K25" s="25"/>
      <c r="L25" s="25"/>
      <c r="M25" s="25"/>
      <c r="N25" s="60" t="s">
        <v>43</v>
      </c>
      <c r="O25" s="63"/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60" t="s">
        <v>57</v>
      </c>
      <c r="O26" s="63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60" t="s">
        <v>57</v>
      </c>
      <c r="O27" s="63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60" t="s">
        <v>43</v>
      </c>
      <c r="O28" s="63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60" t="s">
        <v>57</v>
      </c>
      <c r="O29" s="63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60" t="s">
        <v>54</v>
      </c>
      <c r="O30" s="63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226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60" t="s">
        <v>43</v>
      </c>
      <c r="O31" s="63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2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60" t="s">
        <v>43</v>
      </c>
      <c r="O32" s="63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4"/>
      <c r="I33" s="25" t="s">
        <v>51</v>
      </c>
      <c r="J33" s="30">
        <v>44567</v>
      </c>
      <c r="K33" s="25"/>
      <c r="L33" s="25"/>
      <c r="M33" s="25"/>
      <c r="N33" s="60" t="s">
        <v>43</v>
      </c>
      <c r="O33" s="63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5"/>
      <c r="I34" s="25" t="s">
        <v>51</v>
      </c>
      <c r="J34" s="30">
        <v>44567</v>
      </c>
      <c r="K34" s="25"/>
      <c r="L34" s="25"/>
      <c r="M34" s="25"/>
      <c r="N34" s="60" t="s">
        <v>43</v>
      </c>
      <c r="O34" s="63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227</v>
      </c>
      <c r="H35" s="25"/>
      <c r="I35" s="25" t="s">
        <v>51</v>
      </c>
      <c r="J35" s="30">
        <v>44567</v>
      </c>
      <c r="K35" s="25"/>
      <c r="L35" s="25"/>
      <c r="M35" s="25"/>
      <c r="N35" s="60" t="s">
        <v>41</v>
      </c>
      <c r="O35" s="63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2" t="s">
        <v>116</v>
      </c>
      <c r="H36" s="32" t="s">
        <v>105</v>
      </c>
      <c r="I36" s="25" t="s">
        <v>51</v>
      </c>
      <c r="J36" s="30">
        <v>44567</v>
      </c>
      <c r="K36" s="25"/>
      <c r="L36" s="25"/>
      <c r="M36" s="25"/>
      <c r="N36" s="60" t="s">
        <v>41</v>
      </c>
      <c r="O36" s="63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2" t="s">
        <v>107</v>
      </c>
      <c r="H37" s="32" t="s">
        <v>118</v>
      </c>
      <c r="I37" s="25" t="s">
        <v>51</v>
      </c>
      <c r="J37" s="30">
        <v>44567</v>
      </c>
      <c r="K37" s="25"/>
      <c r="L37" s="25"/>
      <c r="M37" s="25"/>
      <c r="N37" s="60" t="s">
        <v>41</v>
      </c>
      <c r="O37" s="63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60" t="s">
        <v>41</v>
      </c>
      <c r="O38" s="63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60" t="s">
        <v>41</v>
      </c>
      <c r="O39" s="63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60" t="s">
        <v>41</v>
      </c>
      <c r="O40" s="63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2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60" t="s">
        <v>41</v>
      </c>
      <c r="O41" s="63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183</v>
      </c>
      <c r="H42" s="25"/>
      <c r="I42" s="25" t="s">
        <v>51</v>
      </c>
      <c r="J42" s="30">
        <v>44567</v>
      </c>
      <c r="K42" s="25"/>
      <c r="L42" s="25"/>
      <c r="M42" s="25"/>
      <c r="N42" s="60" t="s">
        <v>57</v>
      </c>
      <c r="O42" s="63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2" t="s">
        <v>187</v>
      </c>
      <c r="H43" s="25"/>
      <c r="I43" s="25" t="s">
        <v>51</v>
      </c>
      <c r="J43" s="30">
        <v>44567</v>
      </c>
      <c r="K43" s="25"/>
      <c r="L43" s="25"/>
      <c r="M43" s="25"/>
      <c r="N43" s="60" t="s">
        <v>57</v>
      </c>
      <c r="O43" s="63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60" t="s">
        <v>57</v>
      </c>
      <c r="O44" s="63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2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60" t="s">
        <v>43</v>
      </c>
      <c r="O45" s="63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60" t="s">
        <v>41</v>
      </c>
      <c r="O46" s="63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2" t="s">
        <v>168</v>
      </c>
      <c r="H47" s="32" t="s">
        <v>169</v>
      </c>
      <c r="I47" s="25" t="s">
        <v>51</v>
      </c>
      <c r="J47" s="30">
        <v>44567</v>
      </c>
      <c r="K47" s="25"/>
      <c r="L47" s="25"/>
      <c r="M47" s="25"/>
      <c r="N47" s="60" t="s">
        <v>41</v>
      </c>
      <c r="O47" s="63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2" t="s">
        <v>147</v>
      </c>
      <c r="I48" s="25" t="s">
        <v>51</v>
      </c>
      <c r="J48" s="30">
        <v>44567</v>
      </c>
      <c r="K48" s="25"/>
      <c r="L48" s="25"/>
      <c r="M48" s="25"/>
      <c r="N48" s="60" t="s">
        <v>41</v>
      </c>
      <c r="O48" s="63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2" t="s">
        <v>150</v>
      </c>
      <c r="I49" s="25" t="s">
        <v>51</v>
      </c>
      <c r="J49" s="30">
        <v>44567</v>
      </c>
      <c r="K49" s="25"/>
      <c r="L49" s="25"/>
      <c r="M49" s="25"/>
      <c r="N49" s="60" t="s">
        <v>41</v>
      </c>
      <c r="O49" s="63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60" t="s">
        <v>57</v>
      </c>
      <c r="O50" s="63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202</v>
      </c>
      <c r="H51" s="32" t="s">
        <v>203</v>
      </c>
      <c r="I51" s="25" t="s">
        <v>51</v>
      </c>
      <c r="J51" s="30">
        <v>44567</v>
      </c>
      <c r="K51" s="25"/>
      <c r="L51" s="25"/>
      <c r="M51" s="25"/>
      <c r="N51" s="60" t="s">
        <v>41</v>
      </c>
      <c r="O51" s="63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205</v>
      </c>
      <c r="I52" s="25" t="s">
        <v>51</v>
      </c>
      <c r="J52" s="30">
        <v>44567</v>
      </c>
      <c r="K52" s="25"/>
      <c r="L52" s="25"/>
      <c r="M52" s="25"/>
      <c r="N52" s="60" t="s">
        <v>41</v>
      </c>
      <c r="O52" s="63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204</v>
      </c>
      <c r="I53" s="25" t="s">
        <v>51</v>
      </c>
      <c r="J53" s="30">
        <v>44567</v>
      </c>
      <c r="K53" s="25"/>
      <c r="L53" s="25"/>
      <c r="M53" s="25"/>
      <c r="N53" s="60" t="s">
        <v>43</v>
      </c>
      <c r="O53" s="63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60" t="s">
        <v>41</v>
      </c>
      <c r="O54" s="63"/>
    </row>
    <row r="55" spans="1:15">
      <c r="A55" s="29">
        <v>35</v>
      </c>
      <c r="B55" s="25" t="s">
        <v>44</v>
      </c>
      <c r="C55" s="25" t="s">
        <v>173</v>
      </c>
      <c r="D55" s="25" t="s">
        <v>47</v>
      </c>
      <c r="E55" s="25" t="s">
        <v>102</v>
      </c>
      <c r="F55" s="25" t="s">
        <v>171</v>
      </c>
      <c r="G55" s="25" t="s">
        <v>172</v>
      </c>
      <c r="H55" s="25"/>
      <c r="I55" s="25" t="s">
        <v>51</v>
      </c>
      <c r="J55" s="30">
        <v>44567</v>
      </c>
      <c r="K55" s="25"/>
      <c r="L55" s="25"/>
      <c r="M55" s="25"/>
      <c r="N55" s="60" t="s">
        <v>41</v>
      </c>
      <c r="O55" s="63"/>
    </row>
    <row r="56" spans="1:15">
      <c r="A56" s="29">
        <v>36</v>
      </c>
      <c r="B56" s="25" t="s">
        <v>44</v>
      </c>
      <c r="C56" s="25" t="s">
        <v>178</v>
      </c>
      <c r="D56" s="25" t="s">
        <v>47</v>
      </c>
      <c r="E56" s="25" t="s">
        <v>102</v>
      </c>
      <c r="F56" s="25" t="s">
        <v>174</v>
      </c>
      <c r="G56" s="25" t="s">
        <v>176</v>
      </c>
      <c r="H56" s="25" t="s">
        <v>177</v>
      </c>
      <c r="I56" s="25" t="s">
        <v>51</v>
      </c>
      <c r="J56" s="30">
        <v>44567</v>
      </c>
      <c r="K56" s="25"/>
      <c r="L56" s="25"/>
      <c r="M56" s="25"/>
      <c r="N56" s="60" t="s">
        <v>41</v>
      </c>
      <c r="O56" s="63"/>
    </row>
    <row r="57" spans="1:15">
      <c r="A57" s="29">
        <v>37</v>
      </c>
      <c r="B57" s="25" t="s">
        <v>44</v>
      </c>
      <c r="C57" s="25" t="s">
        <v>181</v>
      </c>
      <c r="D57" s="25" t="s">
        <v>47</v>
      </c>
      <c r="E57" s="25" t="s">
        <v>102</v>
      </c>
      <c r="F57" s="25" t="s">
        <v>179</v>
      </c>
      <c r="G57" s="25" t="s">
        <v>180</v>
      </c>
      <c r="H57" s="25"/>
      <c r="I57" s="25" t="s">
        <v>51</v>
      </c>
      <c r="J57" s="30">
        <v>44567</v>
      </c>
      <c r="K57" s="25"/>
      <c r="L57" s="25"/>
      <c r="M57" s="25"/>
      <c r="N57" s="60" t="s">
        <v>41</v>
      </c>
      <c r="O57" s="63"/>
    </row>
    <row r="58" spans="1:15">
      <c r="A58" s="29">
        <v>38</v>
      </c>
      <c r="B58" s="25" t="s">
        <v>44</v>
      </c>
      <c r="C58" s="25" t="s">
        <v>184</v>
      </c>
      <c r="D58" s="25" t="s">
        <v>47</v>
      </c>
      <c r="E58" s="25" t="s">
        <v>102</v>
      </c>
      <c r="F58" s="25" t="s">
        <v>182</v>
      </c>
      <c r="G58" s="25" t="s">
        <v>175</v>
      </c>
      <c r="H58" s="25" t="s">
        <v>177</v>
      </c>
      <c r="I58" s="25" t="s">
        <v>51</v>
      </c>
      <c r="J58" s="30">
        <v>44567</v>
      </c>
      <c r="K58" s="25"/>
      <c r="L58" s="25"/>
      <c r="M58" s="25"/>
      <c r="N58" s="60" t="s">
        <v>41</v>
      </c>
      <c r="O58" s="63"/>
    </row>
    <row r="59" spans="1:15">
      <c r="A59" s="29">
        <v>39</v>
      </c>
      <c r="B59" s="25" t="s">
        <v>44</v>
      </c>
      <c r="C59" s="25" t="s">
        <v>188</v>
      </c>
      <c r="D59" s="25" t="s">
        <v>47</v>
      </c>
      <c r="E59" s="25" t="s">
        <v>102</v>
      </c>
      <c r="F59" s="25" t="s">
        <v>185</v>
      </c>
      <c r="G59" s="25" t="s">
        <v>186</v>
      </c>
      <c r="H59" s="25"/>
      <c r="I59" s="25" t="s">
        <v>51</v>
      </c>
      <c r="J59" s="30">
        <v>44567</v>
      </c>
      <c r="K59" s="25"/>
      <c r="L59" s="25"/>
      <c r="M59" s="25"/>
      <c r="N59" s="60" t="s">
        <v>41</v>
      </c>
      <c r="O59" s="63"/>
    </row>
    <row r="60" spans="1:15" ht="38">
      <c r="A60" s="29">
        <v>40</v>
      </c>
      <c r="B60" s="25" t="s">
        <v>44</v>
      </c>
      <c r="C60" s="25" t="s">
        <v>191</v>
      </c>
      <c r="D60" s="25" t="s">
        <v>47</v>
      </c>
      <c r="E60" s="25" t="s">
        <v>102</v>
      </c>
      <c r="F60" s="25" t="s">
        <v>189</v>
      </c>
      <c r="G60" s="32" t="s">
        <v>190</v>
      </c>
      <c r="H60" s="25"/>
      <c r="I60" s="25" t="s">
        <v>51</v>
      </c>
      <c r="J60" s="30">
        <v>44567</v>
      </c>
      <c r="K60" s="25"/>
      <c r="L60" s="25"/>
      <c r="M60" s="25"/>
      <c r="N60" s="60" t="s">
        <v>41</v>
      </c>
      <c r="O60" s="63"/>
    </row>
    <row r="61" spans="1:15">
      <c r="A61" s="29">
        <v>41</v>
      </c>
      <c r="B61" s="25" t="s">
        <v>192</v>
      </c>
      <c r="C61" s="25" t="s">
        <v>209</v>
      </c>
      <c r="D61" s="25" t="s">
        <v>47</v>
      </c>
      <c r="E61" s="25" t="s">
        <v>16</v>
      </c>
      <c r="F61" s="25" t="s">
        <v>206</v>
      </c>
      <c r="G61" s="25" t="s">
        <v>207</v>
      </c>
      <c r="H61" s="25" t="s">
        <v>208</v>
      </c>
      <c r="I61" s="25" t="s">
        <v>51</v>
      </c>
      <c r="J61" s="30">
        <v>44571</v>
      </c>
      <c r="K61" s="25"/>
      <c r="L61" s="25"/>
      <c r="M61" s="25"/>
      <c r="N61" s="60" t="s">
        <v>41</v>
      </c>
      <c r="O61" s="63"/>
    </row>
    <row r="62" spans="1:15">
      <c r="A62" s="29">
        <v>42</v>
      </c>
      <c r="B62" s="25" t="s">
        <v>192</v>
      </c>
      <c r="C62" s="25" t="s">
        <v>212</v>
      </c>
      <c r="D62" s="25" t="s">
        <v>47</v>
      </c>
      <c r="E62" s="25" t="s">
        <v>16</v>
      </c>
      <c r="F62" s="25" t="s">
        <v>210</v>
      </c>
      <c r="G62" s="25" t="s">
        <v>211</v>
      </c>
      <c r="H62" s="25"/>
      <c r="I62" s="25" t="s">
        <v>51</v>
      </c>
      <c r="J62" s="30">
        <v>44571</v>
      </c>
      <c r="K62" s="25"/>
      <c r="L62" s="25"/>
      <c r="M62" s="25"/>
      <c r="N62" s="60" t="s">
        <v>57</v>
      </c>
      <c r="O62" s="63"/>
    </row>
    <row r="63" spans="1:15">
      <c r="A63" s="29">
        <v>43</v>
      </c>
      <c r="B63" s="25" t="s">
        <v>213</v>
      </c>
      <c r="C63" s="25" t="s">
        <v>217</v>
      </c>
      <c r="D63" s="25" t="s">
        <v>47</v>
      </c>
      <c r="E63" s="25" t="s">
        <v>78</v>
      </c>
      <c r="F63" s="25" t="s">
        <v>214</v>
      </c>
      <c r="G63" s="25" t="s">
        <v>215</v>
      </c>
      <c r="H63" s="25" t="s">
        <v>216</v>
      </c>
      <c r="I63" s="25" t="s">
        <v>51</v>
      </c>
      <c r="J63" s="30">
        <v>44571</v>
      </c>
      <c r="K63" s="25"/>
      <c r="L63" s="25"/>
      <c r="M63" s="25"/>
      <c r="N63" s="60" t="s">
        <v>43</v>
      </c>
      <c r="O63" s="63"/>
    </row>
    <row r="64" spans="1:15">
      <c r="A64" s="29">
        <v>44</v>
      </c>
      <c r="B64" s="25" t="s">
        <v>213</v>
      </c>
      <c r="C64" s="25" t="s">
        <v>220</v>
      </c>
      <c r="D64" s="25" t="s">
        <v>47</v>
      </c>
      <c r="E64" s="25" t="s">
        <v>78</v>
      </c>
      <c r="F64" s="25" t="s">
        <v>218</v>
      </c>
      <c r="G64" s="25" t="s">
        <v>219</v>
      </c>
      <c r="H64" s="25"/>
      <c r="I64" s="25" t="s">
        <v>51</v>
      </c>
      <c r="J64" s="30">
        <v>44571</v>
      </c>
      <c r="K64" s="25"/>
      <c r="L64" s="25"/>
      <c r="M64" s="25"/>
      <c r="N64" s="60" t="s">
        <v>41</v>
      </c>
      <c r="O64" s="63"/>
    </row>
    <row r="65" spans="1:15">
      <c r="A65" s="33">
        <v>45</v>
      </c>
      <c r="B65" s="24" t="s">
        <v>199</v>
      </c>
      <c r="C65" s="24" t="s">
        <v>223</v>
      </c>
      <c r="D65" s="24" t="s">
        <v>47</v>
      </c>
      <c r="E65" s="24" t="s">
        <v>78</v>
      </c>
      <c r="F65" s="24" t="s">
        <v>221</v>
      </c>
      <c r="G65" s="24" t="s">
        <v>224</v>
      </c>
      <c r="H65" s="24"/>
      <c r="I65" s="24" t="s">
        <v>51</v>
      </c>
      <c r="J65" s="34">
        <v>44571</v>
      </c>
      <c r="K65" s="24"/>
      <c r="L65" s="24"/>
      <c r="M65" s="24"/>
      <c r="N65" s="61" t="s">
        <v>41</v>
      </c>
      <c r="O65" s="64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11"/>
  <sheetViews>
    <sheetView tabSelected="1" workbookViewId="0">
      <selection activeCell="G11" sqref="G11"/>
    </sheetView>
  </sheetViews>
  <sheetFormatPr baseColWidth="10" defaultRowHeight="18"/>
  <cols>
    <col min="7" max="7" width="11.140625" style="72" bestFit="1" customWidth="1"/>
    <col min="8" max="9" width="10.7109375" style="71"/>
  </cols>
  <sheetData>
    <row r="1" spans="1:9">
      <c r="A1" s="93" t="s">
        <v>21</v>
      </c>
      <c r="B1" s="93"/>
      <c r="C1" s="93"/>
      <c r="D1" s="94" t="s">
        <v>5</v>
      </c>
      <c r="E1" s="95"/>
      <c r="F1" s="96"/>
      <c r="G1" s="121" t="s">
        <v>240</v>
      </c>
      <c r="H1" s="122"/>
      <c r="I1" s="123"/>
    </row>
    <row r="2" spans="1:9">
      <c r="A2" s="10" t="s">
        <v>2</v>
      </c>
      <c r="B2" s="11" t="s">
        <v>1</v>
      </c>
      <c r="C2" s="12" t="s">
        <v>4</v>
      </c>
      <c r="D2" s="65" t="s">
        <v>235</v>
      </c>
      <c r="E2" s="65" t="s">
        <v>236</v>
      </c>
      <c r="F2" s="68" t="s">
        <v>242</v>
      </c>
      <c r="G2" s="70" t="s">
        <v>243</v>
      </c>
      <c r="H2" s="67" t="s">
        <v>241</v>
      </c>
      <c r="I2" s="67" t="s">
        <v>244</v>
      </c>
    </row>
    <row r="3" spans="1:9">
      <c r="A3" s="1" t="s">
        <v>13</v>
      </c>
      <c r="B3" s="2" t="s">
        <v>17</v>
      </c>
      <c r="C3" s="3" t="s">
        <v>16</v>
      </c>
      <c r="D3" s="66">
        <f>COUNT(reqNum)</f>
        <v>45</v>
      </c>
      <c r="E3" s="66">
        <v>45</v>
      </c>
      <c r="F3" s="69">
        <f>COUNTA(reqCompleteNum)</f>
        <v>0</v>
      </c>
      <c r="G3" s="72">
        <v>44572</v>
      </c>
      <c r="H3" s="71">
        <v>0</v>
      </c>
      <c r="I3" s="124">
        <f>reqCount-currentCompleteCount</f>
        <v>45</v>
      </c>
    </row>
    <row r="4" spans="1:9">
      <c r="A4" s="4" t="s">
        <v>25</v>
      </c>
      <c r="B4" s="5" t="s">
        <v>14</v>
      </c>
      <c r="C4" s="6" t="s">
        <v>37</v>
      </c>
    </row>
    <row r="5" spans="1:9">
      <c r="A5" s="4" t="s">
        <v>26</v>
      </c>
      <c r="B5" s="8" t="s">
        <v>15</v>
      </c>
      <c r="C5" s="6" t="s">
        <v>18</v>
      </c>
    </row>
    <row r="6" spans="1:9">
      <c r="A6" s="4" t="s">
        <v>27</v>
      </c>
      <c r="C6" s="6" t="s">
        <v>19</v>
      </c>
    </row>
    <row r="7" spans="1:9">
      <c r="A7" s="4" t="s">
        <v>200</v>
      </c>
      <c r="C7" s="6" t="s">
        <v>36</v>
      </c>
    </row>
    <row r="8" spans="1:9">
      <c r="A8" s="4" t="s">
        <v>201</v>
      </c>
      <c r="C8" s="6" t="s">
        <v>20</v>
      </c>
    </row>
    <row r="9" spans="1:9">
      <c r="A9" s="7" t="s">
        <v>28</v>
      </c>
      <c r="C9" s="6" t="s">
        <v>34</v>
      </c>
    </row>
    <row r="10" spans="1:9">
      <c r="C10" s="6" t="s">
        <v>35</v>
      </c>
    </row>
    <row r="11" spans="1:9">
      <c r="C11" s="9" t="s">
        <v>28</v>
      </c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18"/>
  <sheetViews>
    <sheetView workbookViewId="0">
      <selection activeCell="H16" sqref="H16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97" t="s">
        <v>193</v>
      </c>
      <c r="B1" s="98"/>
      <c r="C1" s="98"/>
      <c r="D1" s="98"/>
      <c r="E1" s="98"/>
      <c r="F1" s="98"/>
      <c r="G1" s="98"/>
      <c r="H1" s="98"/>
      <c r="I1" s="99"/>
      <c r="J1" s="106" t="s">
        <v>194</v>
      </c>
      <c r="K1" s="107"/>
      <c r="L1" s="108"/>
      <c r="N1" s="43"/>
    </row>
    <row r="2" spans="1:14" ht="18" customHeight="1">
      <c r="A2" s="100"/>
      <c r="B2" s="101"/>
      <c r="C2" s="101"/>
      <c r="D2" s="101"/>
      <c r="E2" s="101"/>
      <c r="F2" s="101"/>
      <c r="G2" s="101"/>
      <c r="H2" s="101"/>
      <c r="I2" s="102"/>
      <c r="J2" s="109"/>
      <c r="K2" s="110"/>
      <c r="L2" s="111"/>
      <c r="N2" s="43"/>
    </row>
    <row r="3" spans="1:14" ht="18" customHeight="1">
      <c r="A3" s="100"/>
      <c r="B3" s="101"/>
      <c r="C3" s="101"/>
      <c r="D3" s="101"/>
      <c r="E3" s="101"/>
      <c r="F3" s="101"/>
      <c r="G3" s="101"/>
      <c r="H3" s="101"/>
      <c r="I3" s="102"/>
      <c r="J3" s="44"/>
      <c r="K3" s="45"/>
      <c r="L3" s="46"/>
      <c r="N3" s="43"/>
    </row>
    <row r="4" spans="1:14" ht="18" customHeight="1">
      <c r="A4" s="100"/>
      <c r="B4" s="101"/>
      <c r="C4" s="101"/>
      <c r="D4" s="101"/>
      <c r="E4" s="101"/>
      <c r="F4" s="101">
        <v>12</v>
      </c>
      <c r="G4" s="101"/>
      <c r="H4" s="101"/>
      <c r="I4" s="102"/>
      <c r="J4" s="47"/>
      <c r="K4" s="48"/>
      <c r="L4" s="49"/>
      <c r="N4" s="43"/>
    </row>
    <row r="5" spans="1:14" ht="18" customHeight="1">
      <c r="A5" s="103"/>
      <c r="B5" s="104"/>
      <c r="C5" s="104"/>
      <c r="D5" s="104"/>
      <c r="E5" s="104"/>
      <c r="F5" s="104"/>
      <c r="G5" s="104"/>
      <c r="H5" s="104"/>
      <c r="I5" s="105"/>
      <c r="J5" s="50"/>
      <c r="K5" s="51"/>
      <c r="L5" s="52"/>
      <c r="N5" s="43"/>
    </row>
    <row r="6" spans="1:14">
      <c r="N6" s="43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2" t="s">
        <v>30</v>
      </c>
      <c r="J7" s="15" t="s">
        <v>234</v>
      </c>
      <c r="N7" s="43"/>
    </row>
    <row r="8" spans="1:14">
      <c r="A8" s="53">
        <v>1</v>
      </c>
      <c r="B8" s="53" t="s">
        <v>192</v>
      </c>
      <c r="C8" s="53" t="s">
        <v>81</v>
      </c>
      <c r="D8" s="53" t="s">
        <v>47</v>
      </c>
      <c r="E8" s="53" t="s">
        <v>78</v>
      </c>
      <c r="F8" s="53" t="s">
        <v>79</v>
      </c>
      <c r="G8" s="53" t="s">
        <v>80</v>
      </c>
      <c r="H8" s="53"/>
      <c r="I8" s="53" t="s">
        <v>57</v>
      </c>
      <c r="J8" s="53"/>
    </row>
    <row r="9" spans="1:14">
      <c r="A9" s="53">
        <v>2</v>
      </c>
      <c r="B9" s="53" t="s">
        <v>192</v>
      </c>
      <c r="C9" s="53" t="s">
        <v>82</v>
      </c>
      <c r="D9" s="53" t="s">
        <v>74</v>
      </c>
      <c r="E9" s="53" t="s">
        <v>78</v>
      </c>
      <c r="F9" s="53" t="s">
        <v>85</v>
      </c>
      <c r="G9" s="53" t="s">
        <v>86</v>
      </c>
      <c r="H9" s="53"/>
      <c r="I9" s="53" t="s">
        <v>54</v>
      </c>
      <c r="J9" s="53"/>
    </row>
    <row r="10" spans="1:14">
      <c r="A10" s="53">
        <v>3</v>
      </c>
      <c r="B10" s="53" t="s">
        <v>192</v>
      </c>
      <c r="C10" s="53" t="s">
        <v>87</v>
      </c>
      <c r="D10" s="53" t="s">
        <v>47</v>
      </c>
      <c r="E10" s="53" t="s">
        <v>78</v>
      </c>
      <c r="F10" s="53" t="s">
        <v>83</v>
      </c>
      <c r="G10" s="53" t="s">
        <v>89</v>
      </c>
      <c r="H10" s="53" t="s">
        <v>84</v>
      </c>
      <c r="I10" s="53" t="s">
        <v>41</v>
      </c>
      <c r="J10" s="53"/>
    </row>
    <row r="11" spans="1:14" ht="38">
      <c r="A11" s="53">
        <v>4</v>
      </c>
      <c r="B11" s="53" t="s">
        <v>44</v>
      </c>
      <c r="C11" s="53" t="s">
        <v>92</v>
      </c>
      <c r="D11" s="53" t="s">
        <v>74</v>
      </c>
      <c r="E11" s="53" t="s">
        <v>88</v>
      </c>
      <c r="F11" s="53" t="s">
        <v>90</v>
      </c>
      <c r="G11" s="56" t="s">
        <v>229</v>
      </c>
      <c r="H11" s="53" t="s">
        <v>230</v>
      </c>
      <c r="I11" s="53" t="s">
        <v>41</v>
      </c>
      <c r="J11" s="53"/>
    </row>
    <row r="12" spans="1:14">
      <c r="A12" s="53">
        <v>5</v>
      </c>
      <c r="B12" s="53" t="s">
        <v>44</v>
      </c>
      <c r="C12" s="53" t="s">
        <v>94</v>
      </c>
      <c r="D12" s="53" t="s">
        <v>47</v>
      </c>
      <c r="E12" s="53" t="s">
        <v>88</v>
      </c>
      <c r="F12" s="53" t="s">
        <v>93</v>
      </c>
      <c r="G12" s="53" t="s">
        <v>228</v>
      </c>
      <c r="H12" s="53"/>
      <c r="I12" s="53" t="s">
        <v>41</v>
      </c>
      <c r="J12" s="53"/>
    </row>
    <row r="13" spans="1:14">
      <c r="A13" s="53">
        <v>6</v>
      </c>
      <c r="B13" s="53" t="s">
        <v>44</v>
      </c>
      <c r="C13" s="53" t="s">
        <v>98</v>
      </c>
      <c r="D13" s="53" t="s">
        <v>74</v>
      </c>
      <c r="E13" s="53" t="s">
        <v>88</v>
      </c>
      <c r="F13" s="53" t="s">
        <v>95</v>
      </c>
      <c r="G13" s="53" t="s">
        <v>97</v>
      </c>
      <c r="H13" s="53"/>
      <c r="I13" s="53" t="s">
        <v>41</v>
      </c>
      <c r="J13" s="53"/>
    </row>
    <row r="14" spans="1:14">
      <c r="A14" s="53">
        <v>7</v>
      </c>
      <c r="B14" s="53" t="s">
        <v>44</v>
      </c>
      <c r="C14" s="53" t="s">
        <v>101</v>
      </c>
      <c r="D14" s="53" t="s">
        <v>47</v>
      </c>
      <c r="E14" s="53" t="s">
        <v>88</v>
      </c>
      <c r="F14" s="53" t="s">
        <v>99</v>
      </c>
      <c r="G14" s="53" t="s">
        <v>231</v>
      </c>
      <c r="H14" s="53"/>
      <c r="I14" s="53" t="s">
        <v>41</v>
      </c>
      <c r="J14" s="53"/>
    </row>
    <row r="15" spans="1:14">
      <c r="A15" s="53">
        <v>8</v>
      </c>
      <c r="B15" s="53" t="s">
        <v>192</v>
      </c>
      <c r="C15" s="53" t="s">
        <v>212</v>
      </c>
      <c r="D15" s="53" t="s">
        <v>47</v>
      </c>
      <c r="E15" s="53" t="s">
        <v>78</v>
      </c>
      <c r="F15" s="53" t="s">
        <v>210</v>
      </c>
      <c r="G15" s="53" t="s">
        <v>211</v>
      </c>
      <c r="H15" s="53"/>
      <c r="I15" s="53" t="s">
        <v>57</v>
      </c>
      <c r="J15" s="53"/>
    </row>
    <row r="16" spans="1:14">
      <c r="A16" s="53">
        <v>9</v>
      </c>
      <c r="B16" s="53" t="s">
        <v>213</v>
      </c>
      <c r="C16" s="53" t="s">
        <v>217</v>
      </c>
      <c r="D16" s="53" t="s">
        <v>47</v>
      </c>
      <c r="E16" s="53" t="s">
        <v>78</v>
      </c>
      <c r="F16" s="53" t="s">
        <v>214</v>
      </c>
      <c r="G16" s="53" t="s">
        <v>215</v>
      </c>
      <c r="H16" s="53" t="s">
        <v>216</v>
      </c>
      <c r="I16" s="53" t="s">
        <v>41</v>
      </c>
      <c r="J16" s="53"/>
    </row>
    <row r="17" spans="1:10">
      <c r="A17" s="53">
        <v>10</v>
      </c>
      <c r="B17" s="53" t="s">
        <v>213</v>
      </c>
      <c r="C17" s="53" t="s">
        <v>220</v>
      </c>
      <c r="D17" s="53" t="s">
        <v>47</v>
      </c>
      <c r="E17" s="53" t="s">
        <v>78</v>
      </c>
      <c r="F17" s="53" t="s">
        <v>218</v>
      </c>
      <c r="G17" s="53" t="s">
        <v>219</v>
      </c>
      <c r="H17" s="53"/>
      <c r="I17" s="53" t="s">
        <v>41</v>
      </c>
      <c r="J17" s="53"/>
    </row>
    <row r="18" spans="1:10">
      <c r="A18" s="53">
        <v>11</v>
      </c>
      <c r="B18" s="53" t="s">
        <v>199</v>
      </c>
      <c r="C18" s="53" t="s">
        <v>223</v>
      </c>
      <c r="D18" s="53" t="s">
        <v>47</v>
      </c>
      <c r="E18" s="53" t="s">
        <v>78</v>
      </c>
      <c r="F18" s="53" t="s">
        <v>221</v>
      </c>
      <c r="G18" s="53" t="s">
        <v>232</v>
      </c>
      <c r="H18" s="53"/>
      <c r="I18" s="53" t="s">
        <v>41</v>
      </c>
      <c r="J18" s="53"/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10</xdr:col>
                    <xdr:colOff>203200</xdr:colOff>
                    <xdr:row>6</xdr:row>
                    <xdr:rowOff>38100</xdr:rowOff>
                  </from>
                  <to>
                    <xdr:col>11</xdr:col>
                    <xdr:colOff>774700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J18"/>
  <sheetViews>
    <sheetView workbookViewId="0">
      <selection activeCell="J12" sqref="J12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0" ht="18" customHeight="1">
      <c r="A1" s="112" t="s">
        <v>195</v>
      </c>
      <c r="B1" s="113"/>
      <c r="C1" s="113"/>
      <c r="D1" s="113"/>
      <c r="E1" s="113"/>
      <c r="F1" s="113"/>
      <c r="G1" s="113"/>
      <c r="H1" s="113"/>
      <c r="I1" s="114"/>
    </row>
    <row r="2" spans="1:10" ht="18" customHeight="1">
      <c r="A2" s="115"/>
      <c r="B2" s="116"/>
      <c r="C2" s="116"/>
      <c r="D2" s="116"/>
      <c r="E2" s="116"/>
      <c r="F2" s="116"/>
      <c r="G2" s="116"/>
      <c r="H2" s="116"/>
      <c r="I2" s="117"/>
    </row>
    <row r="3" spans="1:10" ht="18" customHeight="1">
      <c r="A3" s="115"/>
      <c r="B3" s="116"/>
      <c r="C3" s="116"/>
      <c r="D3" s="116"/>
      <c r="E3" s="116"/>
      <c r="F3" s="116"/>
      <c r="G3" s="116"/>
      <c r="H3" s="116"/>
      <c r="I3" s="117"/>
    </row>
    <row r="4" spans="1:10" ht="18" customHeight="1">
      <c r="A4" s="115"/>
      <c r="B4" s="116"/>
      <c r="C4" s="116"/>
      <c r="D4" s="116"/>
      <c r="E4" s="116"/>
      <c r="F4" s="116">
        <v>12</v>
      </c>
      <c r="G4" s="116"/>
      <c r="H4" s="116"/>
      <c r="I4" s="117"/>
    </row>
    <row r="5" spans="1:10" ht="18" customHeight="1">
      <c r="A5" s="118"/>
      <c r="B5" s="119"/>
      <c r="C5" s="119"/>
      <c r="D5" s="119"/>
      <c r="E5" s="119"/>
      <c r="F5" s="119"/>
      <c r="G5" s="119"/>
      <c r="H5" s="119"/>
      <c r="I5" s="120"/>
    </row>
    <row r="7" spans="1:10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2" t="s">
        <v>30</v>
      </c>
      <c r="J7" s="15" t="s">
        <v>234</v>
      </c>
    </row>
    <row r="8" spans="1:10">
      <c r="A8" s="29">
        <v>1</v>
      </c>
      <c r="B8" s="25" t="s">
        <v>25</v>
      </c>
      <c r="C8" s="25" t="s">
        <v>81</v>
      </c>
      <c r="D8" s="25" t="s">
        <v>47</v>
      </c>
      <c r="E8" s="25" t="s">
        <v>78</v>
      </c>
      <c r="F8" s="25" t="s">
        <v>79</v>
      </c>
      <c r="G8" s="25" t="s">
        <v>80</v>
      </c>
      <c r="H8" s="25"/>
      <c r="I8" s="31" t="s">
        <v>57</v>
      </c>
      <c r="J8" s="71"/>
    </row>
    <row r="9" spans="1:10">
      <c r="A9" s="29">
        <v>2</v>
      </c>
      <c r="B9" s="25" t="s">
        <v>25</v>
      </c>
      <c r="C9" s="25" t="s">
        <v>82</v>
      </c>
      <c r="D9" s="25" t="s">
        <v>74</v>
      </c>
      <c r="E9" s="25" t="s">
        <v>78</v>
      </c>
      <c r="F9" s="25" t="s">
        <v>85</v>
      </c>
      <c r="G9" s="25" t="s">
        <v>86</v>
      </c>
      <c r="H9" s="25"/>
      <c r="I9" s="31" t="s">
        <v>54</v>
      </c>
      <c r="J9" s="71"/>
    </row>
    <row r="10" spans="1:10">
      <c r="A10" s="29">
        <v>3</v>
      </c>
      <c r="B10" s="25" t="s">
        <v>25</v>
      </c>
      <c r="C10" s="25" t="s">
        <v>87</v>
      </c>
      <c r="D10" s="25" t="s">
        <v>47</v>
      </c>
      <c r="E10" s="25" t="s">
        <v>78</v>
      </c>
      <c r="F10" s="25" t="s">
        <v>83</v>
      </c>
      <c r="G10" s="25" t="s">
        <v>226</v>
      </c>
      <c r="H10" s="25" t="s">
        <v>84</v>
      </c>
      <c r="I10" s="31" t="s">
        <v>43</v>
      </c>
      <c r="J10" s="71"/>
    </row>
    <row r="11" spans="1:10" ht="38">
      <c r="A11" s="29">
        <v>4</v>
      </c>
      <c r="B11" s="25" t="s">
        <v>13</v>
      </c>
      <c r="C11" s="25" t="s">
        <v>92</v>
      </c>
      <c r="D11" s="25" t="s">
        <v>14</v>
      </c>
      <c r="E11" s="25" t="s">
        <v>88</v>
      </c>
      <c r="F11" s="25" t="s">
        <v>90</v>
      </c>
      <c r="G11" s="32" t="s">
        <v>100</v>
      </c>
      <c r="H11" s="25" t="s">
        <v>91</v>
      </c>
      <c r="I11" s="31" t="s">
        <v>43</v>
      </c>
      <c r="J11" s="71"/>
    </row>
    <row r="12" spans="1:10">
      <c r="A12" s="29">
        <v>5</v>
      </c>
      <c r="B12" s="25" t="s">
        <v>13</v>
      </c>
      <c r="C12" s="25" t="s">
        <v>94</v>
      </c>
      <c r="D12" s="25" t="s">
        <v>47</v>
      </c>
      <c r="E12" s="25" t="s">
        <v>88</v>
      </c>
      <c r="F12" s="25" t="s">
        <v>93</v>
      </c>
      <c r="G12" s="25" t="s">
        <v>96</v>
      </c>
      <c r="H12" s="54"/>
      <c r="I12" s="31" t="s">
        <v>43</v>
      </c>
      <c r="J12" s="71"/>
    </row>
    <row r="13" spans="1:10">
      <c r="A13" s="29">
        <v>6</v>
      </c>
      <c r="B13" s="25" t="s">
        <v>44</v>
      </c>
      <c r="C13" s="25" t="s">
        <v>98</v>
      </c>
      <c r="D13" s="25" t="s">
        <v>74</v>
      </c>
      <c r="E13" s="25" t="s">
        <v>88</v>
      </c>
      <c r="F13" s="25" t="s">
        <v>95</v>
      </c>
      <c r="G13" s="25" t="s">
        <v>97</v>
      </c>
      <c r="H13" s="55"/>
      <c r="I13" s="31" t="s">
        <v>43</v>
      </c>
      <c r="J13" s="71"/>
    </row>
    <row r="14" spans="1:10">
      <c r="A14" s="29">
        <v>7</v>
      </c>
      <c r="B14" s="25" t="s">
        <v>13</v>
      </c>
      <c r="C14" s="25" t="s">
        <v>101</v>
      </c>
      <c r="D14" s="25" t="s">
        <v>47</v>
      </c>
      <c r="E14" s="25" t="s">
        <v>88</v>
      </c>
      <c r="F14" s="25" t="s">
        <v>99</v>
      </c>
      <c r="G14" s="25" t="s">
        <v>227</v>
      </c>
      <c r="H14" s="25"/>
      <c r="I14" s="31" t="s">
        <v>41</v>
      </c>
      <c r="J14" s="71"/>
    </row>
    <row r="15" spans="1:10">
      <c r="A15" s="29">
        <v>8</v>
      </c>
      <c r="B15" s="25" t="s">
        <v>192</v>
      </c>
      <c r="C15" s="25" t="s">
        <v>212</v>
      </c>
      <c r="D15" s="25" t="s">
        <v>47</v>
      </c>
      <c r="E15" s="25" t="s">
        <v>16</v>
      </c>
      <c r="F15" s="25" t="s">
        <v>210</v>
      </c>
      <c r="G15" s="25" t="s">
        <v>211</v>
      </c>
      <c r="H15" s="25"/>
      <c r="I15" s="31" t="s">
        <v>57</v>
      </c>
      <c r="J15" s="71"/>
    </row>
    <row r="16" spans="1:10">
      <c r="A16" s="29">
        <v>9</v>
      </c>
      <c r="B16" s="25" t="s">
        <v>213</v>
      </c>
      <c r="C16" s="25" t="s">
        <v>217</v>
      </c>
      <c r="D16" s="25" t="s">
        <v>47</v>
      </c>
      <c r="E16" s="25" t="s">
        <v>78</v>
      </c>
      <c r="F16" s="25" t="s">
        <v>214</v>
      </c>
      <c r="G16" s="25" t="s">
        <v>215</v>
      </c>
      <c r="H16" s="25" t="s">
        <v>216</v>
      </c>
      <c r="I16" s="31" t="s">
        <v>43</v>
      </c>
      <c r="J16" s="71"/>
    </row>
    <row r="17" spans="1:10">
      <c r="A17" s="29">
        <v>10</v>
      </c>
      <c r="B17" s="25" t="s">
        <v>213</v>
      </c>
      <c r="C17" s="25" t="s">
        <v>220</v>
      </c>
      <c r="D17" s="25" t="s">
        <v>47</v>
      </c>
      <c r="E17" s="25" t="s">
        <v>78</v>
      </c>
      <c r="F17" s="25" t="s">
        <v>218</v>
      </c>
      <c r="G17" s="25" t="s">
        <v>219</v>
      </c>
      <c r="H17" s="25"/>
      <c r="I17" s="31" t="s">
        <v>41</v>
      </c>
      <c r="J17" s="71"/>
    </row>
    <row r="18" spans="1:10">
      <c r="A18" s="33">
        <v>11</v>
      </c>
      <c r="B18" s="24" t="s">
        <v>199</v>
      </c>
      <c r="C18" s="24" t="s">
        <v>223</v>
      </c>
      <c r="D18" s="24" t="s">
        <v>47</v>
      </c>
      <c r="E18" s="24" t="s">
        <v>78</v>
      </c>
      <c r="F18" s="24" t="s">
        <v>221</v>
      </c>
      <c r="G18" s="24" t="s">
        <v>224</v>
      </c>
      <c r="H18" s="24"/>
      <c r="I18" s="35" t="s">
        <v>41</v>
      </c>
      <c r="J18" s="71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J7"/>
  <sheetViews>
    <sheetView workbookViewId="0">
      <selection activeCell="D34" sqref="D3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0" ht="18" customHeight="1">
      <c r="A1" s="112" t="s">
        <v>196</v>
      </c>
      <c r="B1" s="113"/>
      <c r="C1" s="113"/>
      <c r="D1" s="113"/>
      <c r="E1" s="113"/>
      <c r="F1" s="113"/>
      <c r="G1" s="113"/>
      <c r="H1" s="113"/>
      <c r="I1" s="114"/>
    </row>
    <row r="2" spans="1:10" ht="18" customHeight="1">
      <c r="A2" s="115"/>
      <c r="B2" s="116"/>
      <c r="C2" s="116"/>
      <c r="D2" s="116"/>
      <c r="E2" s="116"/>
      <c r="F2" s="116"/>
      <c r="G2" s="116"/>
      <c r="H2" s="116"/>
      <c r="I2" s="117"/>
    </row>
    <row r="3" spans="1:10" ht="18" customHeight="1">
      <c r="A3" s="115"/>
      <c r="B3" s="116"/>
      <c r="C3" s="116"/>
      <c r="D3" s="116"/>
      <c r="E3" s="116"/>
      <c r="F3" s="116"/>
      <c r="G3" s="116"/>
      <c r="H3" s="116"/>
      <c r="I3" s="117"/>
    </row>
    <row r="4" spans="1:10" ht="18" customHeight="1">
      <c r="A4" s="115"/>
      <c r="B4" s="116"/>
      <c r="C4" s="116"/>
      <c r="D4" s="116"/>
      <c r="E4" s="116"/>
      <c r="F4" s="116">
        <v>12</v>
      </c>
      <c r="G4" s="116"/>
      <c r="H4" s="116"/>
      <c r="I4" s="117"/>
    </row>
    <row r="5" spans="1:10" ht="18" customHeight="1">
      <c r="A5" s="118"/>
      <c r="B5" s="119"/>
      <c r="C5" s="119"/>
      <c r="D5" s="119"/>
      <c r="E5" s="119"/>
      <c r="F5" s="119"/>
      <c r="G5" s="119"/>
      <c r="H5" s="119"/>
      <c r="I5" s="120"/>
    </row>
    <row r="7" spans="1:10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2" t="s">
        <v>30</v>
      </c>
      <c r="J7" s="15" t="s">
        <v>234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J8"/>
  <sheetViews>
    <sheetView workbookViewId="0">
      <selection activeCell="G44" sqref="G4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0" ht="18" customHeight="1">
      <c r="A1" s="112" t="s">
        <v>197</v>
      </c>
      <c r="B1" s="113"/>
      <c r="C1" s="113"/>
      <c r="D1" s="113"/>
      <c r="E1" s="113"/>
      <c r="F1" s="113"/>
      <c r="G1" s="113"/>
      <c r="H1" s="113"/>
      <c r="I1" s="114"/>
    </row>
    <row r="2" spans="1:10" ht="18" customHeight="1">
      <c r="A2" s="115"/>
      <c r="B2" s="116"/>
      <c r="C2" s="116"/>
      <c r="D2" s="116"/>
      <c r="E2" s="116"/>
      <c r="F2" s="116"/>
      <c r="G2" s="116"/>
      <c r="H2" s="116"/>
      <c r="I2" s="117"/>
    </row>
    <row r="3" spans="1:10" ht="18" customHeight="1">
      <c r="A3" s="115"/>
      <c r="B3" s="116"/>
      <c r="C3" s="116"/>
      <c r="D3" s="116"/>
      <c r="E3" s="116"/>
      <c r="F3" s="116"/>
      <c r="G3" s="116"/>
      <c r="H3" s="116"/>
      <c r="I3" s="117"/>
    </row>
    <row r="4" spans="1:10" ht="18" customHeight="1">
      <c r="A4" s="115"/>
      <c r="B4" s="116"/>
      <c r="C4" s="116"/>
      <c r="D4" s="116"/>
      <c r="E4" s="116"/>
      <c r="F4" s="116">
        <v>12</v>
      </c>
      <c r="G4" s="116"/>
      <c r="H4" s="116"/>
      <c r="I4" s="117"/>
    </row>
    <row r="5" spans="1:10" ht="18" customHeight="1">
      <c r="A5" s="118"/>
      <c r="B5" s="119"/>
      <c r="C5" s="119"/>
      <c r="D5" s="119"/>
      <c r="E5" s="119"/>
      <c r="F5" s="119"/>
      <c r="G5" s="119"/>
      <c r="H5" s="119"/>
      <c r="I5" s="120"/>
    </row>
    <row r="7" spans="1:10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2" t="s">
        <v>30</v>
      </c>
      <c r="J7" s="15" t="s">
        <v>234</v>
      </c>
    </row>
    <row r="8" spans="1:10">
      <c r="J8" s="53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J7"/>
  <sheetViews>
    <sheetView workbookViewId="0">
      <selection activeCell="H16" sqref="H16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0" ht="18" customHeight="1">
      <c r="A1" s="112" t="s">
        <v>198</v>
      </c>
      <c r="B1" s="113"/>
      <c r="C1" s="113"/>
      <c r="D1" s="113"/>
      <c r="E1" s="113"/>
      <c r="F1" s="113"/>
      <c r="G1" s="113"/>
      <c r="H1" s="113"/>
      <c r="I1" s="114"/>
    </row>
    <row r="2" spans="1:10" ht="18" customHeight="1">
      <c r="A2" s="115"/>
      <c r="B2" s="116"/>
      <c r="C2" s="116"/>
      <c r="D2" s="116"/>
      <c r="E2" s="116"/>
      <c r="F2" s="116"/>
      <c r="G2" s="116"/>
      <c r="H2" s="116"/>
      <c r="I2" s="117"/>
    </row>
    <row r="3" spans="1:10" ht="18" customHeight="1">
      <c r="A3" s="115"/>
      <c r="B3" s="116"/>
      <c r="C3" s="116"/>
      <c r="D3" s="116"/>
      <c r="E3" s="116"/>
      <c r="F3" s="116"/>
      <c r="G3" s="116"/>
      <c r="H3" s="116"/>
      <c r="I3" s="117"/>
    </row>
    <row r="4" spans="1:10" ht="18" customHeight="1">
      <c r="A4" s="115"/>
      <c r="B4" s="116"/>
      <c r="C4" s="116"/>
      <c r="D4" s="116"/>
      <c r="E4" s="116"/>
      <c r="F4" s="116">
        <v>12</v>
      </c>
      <c r="G4" s="116"/>
      <c r="H4" s="116"/>
      <c r="I4" s="117"/>
    </row>
    <row r="5" spans="1:10" ht="18" customHeight="1">
      <c r="A5" s="118"/>
      <c r="B5" s="119"/>
      <c r="C5" s="119"/>
      <c r="D5" s="119"/>
      <c r="E5" s="119"/>
      <c r="F5" s="119"/>
      <c r="G5" s="119"/>
      <c r="H5" s="119"/>
      <c r="I5" s="120"/>
    </row>
    <row r="7" spans="1:10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2" t="s">
        <v>30</v>
      </c>
      <c r="J7" s="15" t="s">
        <v>234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2022-01-10T19:10:28Z</dcterms:modified>
</cp:coreProperties>
</file>