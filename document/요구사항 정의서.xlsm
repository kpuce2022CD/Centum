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296A6A55-71EF-3FAC-97E6-161027D9662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seowonho/Centum/document/"/>
    </mc:Choice>
  </mc:AlternateContent>
  <xr:revisionPtr revIDLastSave="0" documentId="13_ncr:1_{E457EFBA-8D31-4F4F-8DE1-E6D473107401}" xr6:coauthVersionLast="47" xr6:coauthVersionMax="47" xr10:uidLastSave="{00000000-0000-0000-0000-000000000000}"/>
  <bookViews>
    <workbookView xWindow="20" yWindow="500" windowWidth="35840" windowHeight="21900" xr2:uid="{1622F433-8E21-B24D-9DEA-8E036C06B663}"/>
  </bookViews>
  <sheets>
    <sheet name="main" sheetId="1" r:id="rId1"/>
    <sheet name="DB" sheetId="2" r:id="rId2"/>
    <sheet name="sprint" sheetId="3" r:id="rId3"/>
    <sheet name="1sp" sheetId="4" r:id="rId4"/>
    <sheet name="2sp" sheetId="8" r:id="rId5"/>
    <sheet name="3sp" sheetId="9" r:id="rId6"/>
    <sheet name="4sp" sheetId="10" r:id="rId7"/>
  </sheets>
  <definedNames>
    <definedName name="_xlnm._FilterDatabase" localSheetId="0" hidden="1">main!$A$20:$N$65</definedName>
    <definedName name="_xlnm._FilterDatabase" localSheetId="2" hidden="1">sprint!$A$7:$I$18</definedName>
    <definedName name="currentCompleteCount">DB!$F$3</definedName>
    <definedName name="finalFix">main!$E$4</definedName>
    <definedName name="finalFixDate">main!$F$4</definedName>
    <definedName name="loadById">main!$E$15</definedName>
    <definedName name="loadCate">main!$D$17</definedName>
    <definedName name="loadCheck">main!$K$17</definedName>
    <definedName name="loadContext">main!$G$17</definedName>
    <definedName name="loadDate">main!$J$17</definedName>
    <definedName name="loadFix">main!$M$17</definedName>
    <definedName name="loadHold">main!$L$17</definedName>
    <definedName name="loadId">main!$C$17</definedName>
    <definedName name="loadImportance">main!$N$17</definedName>
    <definedName name="loadNum">main!$A$17</definedName>
    <definedName name="loadRemark">main!$H$17</definedName>
    <definedName name="loadreqId">main!$C$17</definedName>
    <definedName name="loadSecondCate">main!$E$17</definedName>
    <definedName name="loadTitle">main!$F$17</definedName>
    <definedName name="loadType">main!$B$17</definedName>
    <definedName name="loadUser">main!$I$17</definedName>
    <definedName name="removeById">main!$E$12</definedName>
    <definedName name="removeId">main!$E$12</definedName>
    <definedName name="reqCheck">main!$K$21:$K$1048576</definedName>
    <definedName name="reqCompleteNum">main!$O$21:$O$1048576</definedName>
    <definedName name="reqContext">main!$G$21:$G$1048576</definedName>
    <definedName name="reqCount">DB!$D$3</definedName>
    <definedName name="reqDate">main!$J$21:$J$1048576</definedName>
    <definedName name="reqFix">main!$M$21:$M$1048576</definedName>
    <definedName name="reqHold">main!$L$21:$L$1048576</definedName>
    <definedName name="reqId">main!$C$21:$C$1048576</definedName>
    <definedName name="reqIdCount">DB!$E$3</definedName>
    <definedName name="reqImportance">main!$N$21:$N$1048576</definedName>
    <definedName name="reqNum">main!$A$21:$A$1048576</definedName>
    <definedName name="reqRemark">main!$H$21:$H$1048576</definedName>
    <definedName name="reqSecondType">main!$E$21:$E$1048576</definedName>
    <definedName name="reqTitle">main!$F$21:$F$1048576</definedName>
    <definedName name="reqType">main!$D$21:$D$1048576</definedName>
    <definedName name="requirement">main!$A$21:$N$1048576</definedName>
    <definedName name="requirements">main!$A$21:$N$1048576</definedName>
    <definedName name="reqUser">main!$I$21:$I$1048576</definedName>
    <definedName name="sdv">main!$C$17</definedName>
    <definedName name="sprintCompleteCount">DB!$H$3:$H$1048576</definedName>
    <definedName name="sprintDate">DB!$G$3:$G$1048576</definedName>
    <definedName name="sprintDB">DB!$G$3:$I$1048576</definedName>
    <definedName name="sprintList" localSheetId="4">'2sp'!$A$8:$I$1048576</definedName>
    <definedName name="sprintList" localSheetId="5">'3sp'!$A$8:$I$1048576</definedName>
    <definedName name="sprintList" localSheetId="6">'4sp'!$A$8:$I$1048576</definedName>
    <definedName name="sprintList">'1sp'!$A$8:$I$1048576</definedName>
    <definedName name="sprintList1" localSheetId="4">'2sp'!$A$8:$I$1048576</definedName>
    <definedName name="sprintList1" localSheetId="5">'3sp'!$A$8:$I$1048576</definedName>
    <definedName name="sprintList1" localSheetId="6">'4sp'!$A$8:$I$1048576</definedName>
    <definedName name="sprintList1">'1sp'!$A$8:$I$1048576</definedName>
    <definedName name="sprintListMain">sprint!$J:$R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2" l="1"/>
  <c r="D3" i="2"/>
  <c r="I3" i="2" s="1"/>
</calcChain>
</file>

<file path=xl/sharedStrings.xml><?xml version="1.0" encoding="utf-8"?>
<sst xmlns="http://schemas.openxmlformats.org/spreadsheetml/2006/main" count="1246" uniqueCount="337">
  <si>
    <t>ID</t>
    <phoneticPr fontId="2" type="noConversion"/>
  </si>
  <si>
    <t>구분</t>
    <phoneticPr fontId="2" type="noConversion"/>
  </si>
  <si>
    <t>유형</t>
    <phoneticPr fontId="2" type="noConversion"/>
  </si>
  <si>
    <t>No</t>
    <phoneticPr fontId="2" type="noConversion"/>
  </si>
  <si>
    <t>세부구분</t>
    <phoneticPr fontId="2" type="noConversion"/>
  </si>
  <si>
    <t>요구사항</t>
    <phoneticPr fontId="2" type="noConversion"/>
  </si>
  <si>
    <t>서비스 명</t>
    <phoneticPr fontId="2" type="noConversion"/>
  </si>
  <si>
    <t>비고</t>
    <phoneticPr fontId="2" type="noConversion"/>
  </si>
  <si>
    <t>작성자</t>
    <phoneticPr fontId="2" type="noConversion"/>
  </si>
  <si>
    <t>작성일자</t>
    <phoneticPr fontId="2" type="noConversion"/>
  </si>
  <si>
    <t>확인</t>
    <phoneticPr fontId="2" type="noConversion"/>
  </si>
  <si>
    <t>상태</t>
    <phoneticPr fontId="2" type="noConversion"/>
  </si>
  <si>
    <t>보류</t>
    <phoneticPr fontId="2" type="noConversion"/>
  </si>
  <si>
    <t>기능</t>
    <phoneticPr fontId="2" type="noConversion"/>
  </si>
  <si>
    <t>FRONT</t>
    <phoneticPr fontId="2" type="noConversion"/>
  </si>
  <si>
    <t>BACK</t>
    <phoneticPr fontId="2" type="noConversion"/>
  </si>
  <si>
    <t>전체</t>
    <phoneticPr fontId="2" type="noConversion"/>
  </si>
  <si>
    <t>ALL</t>
    <phoneticPr fontId="2" type="noConversion"/>
  </si>
  <si>
    <t>포트폴리오</t>
    <phoneticPr fontId="2" type="noConversion"/>
  </si>
  <si>
    <t>커뮤니티</t>
    <phoneticPr fontId="2" type="noConversion"/>
  </si>
  <si>
    <t>프로필</t>
    <phoneticPr fontId="2" type="noConversion"/>
  </si>
  <si>
    <t>서비스 구분</t>
    <phoneticPr fontId="2" type="noConversion"/>
  </si>
  <si>
    <t>구현방안</t>
    <phoneticPr fontId="2" type="noConversion"/>
  </si>
  <si>
    <t>작성정보</t>
    <phoneticPr fontId="2" type="noConversion"/>
  </si>
  <si>
    <t>수정</t>
    <phoneticPr fontId="2" type="noConversion"/>
  </si>
  <si>
    <t>인터페이스</t>
    <phoneticPr fontId="2" type="noConversion"/>
  </si>
  <si>
    <t>DB</t>
    <phoneticPr fontId="2" type="noConversion"/>
  </si>
  <si>
    <t>성능</t>
    <phoneticPr fontId="2" type="noConversion"/>
  </si>
  <si>
    <t>기타</t>
    <phoneticPr fontId="2" type="noConversion"/>
  </si>
  <si>
    <t>요구사항 정의서 - 개발 입문자를 위한 포트폴리오 관리 애플리케이션</t>
    <phoneticPr fontId="2" type="noConversion"/>
  </si>
  <si>
    <t>중요도</t>
    <phoneticPr fontId="2" type="noConversion"/>
  </si>
  <si>
    <t>버전</t>
    <phoneticPr fontId="2" type="noConversion"/>
  </si>
  <si>
    <t>서원호</t>
    <phoneticPr fontId="2" type="noConversion"/>
  </si>
  <si>
    <t>최종수정일</t>
    <phoneticPr fontId="2" type="noConversion"/>
  </si>
  <si>
    <t>로그인</t>
    <phoneticPr fontId="2" type="noConversion"/>
  </si>
  <si>
    <t>회원가입</t>
    <phoneticPr fontId="2" type="noConversion"/>
  </si>
  <si>
    <t>게시판</t>
    <phoneticPr fontId="2" type="noConversion"/>
  </si>
  <si>
    <t>메인</t>
    <phoneticPr fontId="2" type="noConversion"/>
  </si>
  <si>
    <t>요구사항 작성</t>
    <phoneticPr fontId="2" type="noConversion"/>
  </si>
  <si>
    <t>요구사항 삭제</t>
    <phoneticPr fontId="2" type="noConversion"/>
  </si>
  <si>
    <t>요구사항 수정</t>
    <phoneticPr fontId="2" type="noConversion"/>
  </si>
  <si>
    <t>상</t>
  </si>
  <si>
    <t>R-002</t>
  </si>
  <si>
    <t>상</t>
    <phoneticPr fontId="2" type="noConversion"/>
  </si>
  <si>
    <t>기능</t>
  </si>
  <si>
    <t>R-001</t>
  </si>
  <si>
    <t>R-003</t>
  </si>
  <si>
    <t>ALL</t>
  </si>
  <si>
    <t>로그인</t>
  </si>
  <si>
    <t>회원가입</t>
  </si>
  <si>
    <t>사용자는 ID와 Password를 입력하여 로그인을 할 수 있도록 함</t>
  </si>
  <si>
    <t>서원호</t>
  </si>
  <si>
    <t>로그인 상태 유지</t>
  </si>
  <si>
    <t>로그인 상태 유지 선택을 통해 로그인 상태를 유지할 수 있도록 함</t>
  </si>
  <si>
    <t>하</t>
  </si>
  <si>
    <t>아이디 찾기</t>
  </si>
  <si>
    <t>입력사항: 이름, 이메일</t>
  </si>
  <si>
    <t>중</t>
  </si>
  <si>
    <t>비밀번호 찾기</t>
  </si>
  <si>
    <t>비밀번호 분실 시 이메일 인증 방식을 통해 찾을 수 있도록 함</t>
  </si>
  <si>
    <t>아이디 분실 시 이름과 이메일 일치 확인을 통해 찾을 수 있도록 함</t>
  </si>
  <si>
    <t>입력사항: 아이디, 이름, 이메일</t>
  </si>
  <si>
    <t>R-004</t>
  </si>
  <si>
    <t>특정 정보 입력을 통해 회원가입을 할 수 있도록 함</t>
  </si>
  <si>
    <t>R-005</t>
  </si>
  <si>
    <t>아이디 중복 확인</t>
  </si>
  <si>
    <t>아이디 중복 확인을 통해 가입된 아이디인지 확인할 수 있도록 함</t>
  </si>
  <si>
    <t>R-006</t>
  </si>
  <si>
    <t>비밀번호 확인</t>
  </si>
  <si>
    <t>비밀번호 확인을 통해 비밀번호를 알맞게 입력했는지 체크할 수 있도록 함</t>
  </si>
  <si>
    <t>불일치 시 입력 칸 아래쪽 붉은 글씨로 표시</t>
  </si>
  <si>
    <t>R-007</t>
  </si>
  <si>
    <t>중복확인 버튼으로 체크</t>
    <phoneticPr fontId="2" type="noConversion"/>
  </si>
  <si>
    <t>R-008</t>
  </si>
  <si>
    <t>FRONT</t>
  </si>
  <si>
    <t>로그인 상태</t>
  </si>
  <si>
    <t>로그인 상태에 따라 로그인 버튼 및 프로필 이동 버튼이 보일 수 있도록 함</t>
  </si>
  <si>
    <t>로그인 시: 프로필, 비로그인 시: 로그인, 회원가입</t>
  </si>
  <si>
    <t>전체</t>
  </si>
  <si>
    <t>메인화면 이동</t>
  </si>
  <si>
    <t>웹 페이지 로고 클릭 시 메인화면으로 이동할 수 있도록 함</t>
  </si>
  <si>
    <t>R-009</t>
  </si>
  <si>
    <t>R-010</t>
  </si>
  <si>
    <t>내비게이션 목록</t>
  </si>
  <si>
    <t>목록: 포트폴리오, 분석/관리, 커뮤니티, 1:1문의</t>
  </si>
  <si>
    <t>Footer 기재</t>
  </si>
  <si>
    <t xml:space="preserve">Footer에 제작자의 적절한 정보를 기재하여 제공할 수 있도록 함 </t>
  </si>
  <si>
    <t>R-011</t>
  </si>
  <si>
    <t>포트폴리오</t>
  </si>
  <si>
    <t>내비게이션 목록을 구현하여 사용자가 원하는 페이지로 이동할 수 있도록 함</t>
  </si>
  <si>
    <t>포트폴리오 작성</t>
  </si>
  <si>
    <t>단: 사진, 동영상, 프로젝트(주제, git), 설명</t>
    <phoneticPr fontId="2" type="noConversion"/>
  </si>
  <si>
    <t>R-012</t>
  </si>
  <si>
    <t>포트폴리오 삭제</t>
  </si>
  <si>
    <t>R-013</t>
  </si>
  <si>
    <t>포트폴리오 수정</t>
  </si>
  <si>
    <t>사용자가 포트폴리오를 삭제하고 싶을 경우 비밀번호 확인 후 삭제할 수 있도록 함</t>
    <phoneticPr fontId="2" type="noConversion"/>
  </si>
  <si>
    <t>포트폴리오는 단 마다 수정할 수 있도록 하며, 단의 위치를 자유자재로 바꿀 수 있도록 함</t>
  </si>
  <si>
    <t>R-014</t>
  </si>
  <si>
    <t>포트폴리오 목록</t>
  </si>
  <si>
    <t>포트폴리오는 단 추가 형식으로 작성할 수 있도록 하며, public/private을 통해 공개 여부를 설정할 수 있도록 함, 사용자 당 1개의 포트폴리오만 작성 가능하도록 함</t>
    <phoneticPr fontId="2" type="noConversion"/>
  </si>
  <si>
    <t>R-015</t>
  </si>
  <si>
    <t>커뮤니티</t>
  </si>
  <si>
    <t>게시판 목록</t>
  </si>
  <si>
    <t>R-016</t>
  </si>
  <si>
    <t>게시판: 자유게시판, 정보게시판, 구인게시판
목록형태: index, 제목, 댓글, 작성자, 작성일, 추천, 스크랩, 조회</t>
    <phoneticPr fontId="2" type="noConversion"/>
  </si>
  <si>
    <t>게시글 작성</t>
  </si>
  <si>
    <t>게시판 목록 페이지를 통해 작성 페이지로 접속할 수 있게 하며, 자유, 정보 게시판은 일반 에디터 형태, 구인 게시판은 구인 성격에 알맞는 에디터로 구현되도록 함</t>
    <phoneticPr fontId="2" type="noConversion"/>
  </si>
  <si>
    <t>R-017</t>
  </si>
  <si>
    <t>게시글 수정</t>
  </si>
  <si>
    <t>해당 게시글 작성자만 수정할 수 있도록 하며, 수정 시 작성일자를 변경하지 않음</t>
  </si>
  <si>
    <t>R-018</t>
  </si>
  <si>
    <t>게시글 삭제</t>
  </si>
  <si>
    <t>해당 게시글 작성자만 삭제할 수 있도록 하며, 삭제 시 알람박스를 통해 한번 더 물어보도록 함</t>
  </si>
  <si>
    <t>알람박스 답변 형태: y/n</t>
  </si>
  <si>
    <t>R-019</t>
  </si>
  <si>
    <t>게시판을 통해 사람들이 정보를 공유하고 팀원을 구할 수 있게 구성되도록 하며, 모든 게시글 활동은 로그인 상태에서만 할 수 있도록 함</t>
    <phoneticPr fontId="2" type="noConversion"/>
  </si>
  <si>
    <t>게시글 조회</t>
  </si>
  <si>
    <t>에디터 기능: 볼드, 이테릭, 밑줄, 단 배치, 폰트 컬러, 폰트 사이즈, 사진, 동영상
게시글 기능: 공개/비공개 설정, 댓글/스크랩 허용 설정, 등록/취소</t>
    <phoneticPr fontId="2" type="noConversion"/>
  </si>
  <si>
    <t>R-020</t>
  </si>
  <si>
    <t>댓글 작성</t>
  </si>
  <si>
    <t>공개된 게시글에서 댓글이 허용됐다면 사용자는 댓글을 입력할 수 있도록 하며, 작성자, 작성일자는 자동으로 같이 업로드 되도록 함</t>
    <phoneticPr fontId="2" type="noConversion"/>
  </si>
  <si>
    <t>R-021</t>
  </si>
  <si>
    <t>답글 작성</t>
  </si>
  <si>
    <t>공개 게시글은 사용자가 조회할 수 있도록 하며, 글 및 댓글 조회, 즉 상하이동이 자유롭도록 함</t>
    <phoneticPr fontId="2" type="noConversion"/>
  </si>
  <si>
    <t>기능: 추천, 스크랩, 댓글, 새로고침, 상단이동, 목록이동, 글쓰기</t>
    <phoneticPr fontId="2" type="noConversion"/>
  </si>
  <si>
    <t>업로드: 작성자, 작성일자, 댓글내용, 답글 버튼</t>
    <phoneticPr fontId="2" type="noConversion"/>
  </si>
  <si>
    <t>R-022</t>
  </si>
  <si>
    <t>게시글 추천</t>
  </si>
  <si>
    <t>R-023</t>
  </si>
  <si>
    <t>게시글 스크랩</t>
  </si>
  <si>
    <t>게시글에서 스크랩 버튼 클릭 시 자신의 보관함에 스크랩되며 스크랩 수가 올라가도록 함</t>
  </si>
  <si>
    <t>R-024</t>
  </si>
  <si>
    <t>구인 게시글 팀원 모집</t>
    <phoneticPr fontId="2" type="noConversion"/>
  </si>
  <si>
    <t>구인 게시글 합류 신청</t>
  </si>
  <si>
    <t>구인 게시글에서 구인이 마감되지 않고 팀원이 차지 않은 글이 있다면 합류 신청을 할 수 있도록 함</t>
  </si>
  <si>
    <t>R-026</t>
  </si>
  <si>
    <t>기능: 모인 팀원 수 조회, 구인 마감 버튼, 자동매칭 on/off</t>
    <phoneticPr fontId="2" type="noConversion"/>
  </si>
  <si>
    <t>구인 게시글 자동매칭</t>
    <phoneticPr fontId="2" type="noConversion"/>
  </si>
  <si>
    <t>R-027</t>
  </si>
  <si>
    <t>구인 게시글에서는 팀원을 모집하는 시스템이 구성되도록 하며, 팀원 모집 완료 시 자동으로 게시글이 삭제될 수 있도록 함</t>
    <phoneticPr fontId="2" type="noConversion"/>
  </si>
  <si>
    <t>R-025</t>
    <phoneticPr fontId="2" type="noConversion"/>
  </si>
  <si>
    <t>프로필</t>
  </si>
  <si>
    <t>프로필 조회</t>
  </si>
  <si>
    <t>R-028</t>
  </si>
  <si>
    <t>입력사항: 아이디, 비밀번호, 이름, 닉네임, 전화번호, 이메일, 관심분야, 생년월일, 성별, (추가정보: github 주소)</t>
    <phoneticPr fontId="2" type="noConversion"/>
  </si>
  <si>
    <t>프로필 수정</t>
  </si>
  <si>
    <t>조회 목록: 프로필 사진, 이름, 전화번호, 닉네임, 이메일, 관심분야, 생년월일, 성별, github 주소</t>
    <phoneticPr fontId="2" type="noConversion"/>
  </si>
  <si>
    <t>사용자는 프로필 페이지 내에서 제한된 내용에 한하여 수정할 수 있도록 함</t>
  </si>
  <si>
    <t>R-029</t>
  </si>
  <si>
    <t>수정 가능 목록: 프로필 사진, 비밀번호, 닉네임, 이메일, 관심분야, github 주소</t>
    <phoneticPr fontId="2" type="noConversion"/>
  </si>
  <si>
    <t>회원탈퇴</t>
  </si>
  <si>
    <t>사용자는 프로필 페이지 내에서 본인인증을 통하여 회원 탈퇴를 할 수 있도록 함</t>
  </si>
  <si>
    <t>R-030</t>
  </si>
  <si>
    <t>분석/관리</t>
  </si>
  <si>
    <t>사용자는 프로필 아이콘을 통해 언제든 프로필을 조회할 수 있도록 함</t>
    <phoneticPr fontId="2" type="noConversion"/>
  </si>
  <si>
    <t>프로젝트 분석</t>
  </si>
  <si>
    <t>R-031</t>
  </si>
  <si>
    <t>기술 스택 조회</t>
  </si>
  <si>
    <t>분석한 내용을 통하여 사용자가 사용한 기술들을 조회할 수 있도록 함</t>
  </si>
  <si>
    <t>R-032</t>
  </si>
  <si>
    <t>코드 설계 수준 조회</t>
  </si>
  <si>
    <t>코드의 모듈화 정도를 분석하여 사용자의 코드 구현 능력을 조회할 수 있도록 함</t>
  </si>
  <si>
    <t>R-033</t>
  </si>
  <si>
    <t>사용자 레벨 조회</t>
  </si>
  <si>
    <t>분석된 데이터를 통해 사용자의 진행 분야 및 레벨을 측정하여 조회할 수 있도록 함</t>
  </si>
  <si>
    <t>목록: 사용자 레벨, 진행 분야</t>
  </si>
  <si>
    <t>R-034</t>
  </si>
  <si>
    <t>사용자가 자동매칭 기능을 사용하면 자동매칭이 on 되어 있는 게시글에 한하여 비슷한 레벨의 인원들이 자동매칭 될 수 있도록 하며, 게시글이 존재하지 않을 시 시스템이 임시로 게시글을 업로드하여 팀원이 자동으로 매칭될 수 있도록 함</t>
    <phoneticPr fontId="2" type="noConversion"/>
  </si>
  <si>
    <t>게시글 존재 시: 해당 게시글로 팀원 합류
게시글 미 존재 시: 시스템이 생성한 게시글로 팀원 합류
매칭 기준: 레벨</t>
    <phoneticPr fontId="2" type="noConversion"/>
  </si>
  <si>
    <t>댓글 삭제</t>
  </si>
  <si>
    <t>사용자는 작성한 댓글을 삭제할 수 있도록 함</t>
  </si>
  <si>
    <t>R-035</t>
  </si>
  <si>
    <t>댓글 수정</t>
  </si>
  <si>
    <t>사용자는 작성한 댓글을 수정할 수 있도록 하며, 댓글 수정 시 수정됨을 표시하도록 함</t>
  </si>
  <si>
    <t>사용자는 작성한 댓글을 수정할 수 있도록 하며, 댓글 수정 시 수정됨을 표시하도록 함</t>
    <phoneticPr fontId="2" type="noConversion"/>
  </si>
  <si>
    <t>작성 날짜 변경</t>
  </si>
  <si>
    <t>R-036</t>
  </si>
  <si>
    <t>답글 삭제</t>
  </si>
  <si>
    <t>사용자는 작성한 답글을 삭제할 수 있도록 함</t>
  </si>
  <si>
    <t>R-037</t>
  </si>
  <si>
    <t>작성된 댓글에서 답글 버튼 클릭 시 답글을 작성할 수 있도록 함</t>
    <phoneticPr fontId="2" type="noConversion"/>
  </si>
  <si>
    <t>R-038</t>
  </si>
  <si>
    <t>게시글 추천 취소</t>
  </si>
  <si>
    <t>R-039</t>
  </si>
  <si>
    <t>게시글 스크랩 취소</t>
  </si>
  <si>
    <t>게시글이 스크랩 되었을 때 다시 클릭하면 스크랩이 취소되도록 하며, 스크랩이 취소되면 사용자의 보관함에서도 스크랩된 게시글이 삭제되도록 함</t>
    <phoneticPr fontId="2" type="noConversion"/>
  </si>
  <si>
    <t>R-040</t>
  </si>
  <si>
    <t>인터페이스</t>
  </si>
  <si>
    <t>Sprint Backlog</t>
    <phoneticPr fontId="2" type="noConversion"/>
  </si>
  <si>
    <t>Sprint 선택</t>
    <phoneticPr fontId="2" type="noConversion"/>
  </si>
  <si>
    <t>Sprint Backlog - 1</t>
    <phoneticPr fontId="2" type="noConversion"/>
  </si>
  <si>
    <t>Sprint Backlog - 2</t>
    <phoneticPr fontId="2" type="noConversion"/>
  </si>
  <si>
    <t>Sprint Backlog - 3</t>
    <phoneticPr fontId="2" type="noConversion"/>
  </si>
  <si>
    <t>Sprint Backlog - 4</t>
    <phoneticPr fontId="2" type="noConversion"/>
  </si>
  <si>
    <t>보안</t>
  </si>
  <si>
    <t>보안</t>
    <phoneticPr fontId="2" type="noConversion"/>
  </si>
  <si>
    <t>제약사항</t>
    <phoneticPr fontId="2" type="noConversion"/>
  </si>
  <si>
    <t>사용자가 연동한 github 및 github 주소를 통해 시스템이 프로젝트 코드를 분석하도록 함</t>
    <phoneticPr fontId="2" type="noConversion"/>
  </si>
  <si>
    <t>사용 라이브러리: 사이킷런, 케라스, BERT
데이터 전송 방식: REST API(json)
[루틴]
1. flask 서버에 데이터 전송
2. 데이터 분석
3. spring 서버에 결과 데이터 전송</t>
    <phoneticPr fontId="2" type="noConversion"/>
  </si>
  <si>
    <t>데이터 시각화: 복잡도, 응집도</t>
    <phoneticPr fontId="2" type="noConversion"/>
  </si>
  <si>
    <t>기술: 언어, 라이브러리, 프레임워크</t>
    <phoneticPr fontId="2" type="noConversion"/>
  </si>
  <si>
    <t>github와의 연계</t>
  </si>
  <si>
    <t>github와 연동한 유저들의 repository 정보를 서버에 전달함</t>
  </si>
  <si>
    <t>repository 정보: 소스코드</t>
  </si>
  <si>
    <t>R-041</t>
  </si>
  <si>
    <t>메인 컬러</t>
  </si>
  <si>
    <t>시스템 주제에 맞게 진취적인 느낌의 밝은 컬러를 사용하도록 함</t>
  </si>
  <si>
    <t>R-042</t>
  </si>
  <si>
    <t>DB</t>
  </si>
  <si>
    <t>초기자료 구축</t>
  </si>
  <si>
    <t>프로젝트 분석을 수행하기 위해 초기 데이터를 구축하여야 함</t>
  </si>
  <si>
    <t>데이터: 소스코드</t>
  </si>
  <si>
    <t>R-043</t>
  </si>
  <si>
    <t>데이터 정합성 검증</t>
  </si>
  <si>
    <t>외부 데이터 연계 시, 반드시 데이터 정합성을 체크하고 로그를 유지하도록 함</t>
  </si>
  <si>
    <t>R-044</t>
  </si>
  <si>
    <t>DB 보안</t>
  </si>
  <si>
    <t>R-045</t>
  </si>
  <si>
    <t>사용자 정보, 패스워드 등은 소스코드에 직접 하드코딩하지 않음</t>
    <phoneticPr fontId="2" type="noConversion"/>
  </si>
  <si>
    <t>내비게이션 목록을 구현하여 사용자가 원하는 페이지로 이동할 수 있도록 함</t>
    <phoneticPr fontId="2" type="noConversion"/>
  </si>
  <si>
    <t>포트폴리오 페이지에서 public으로 설정된 사람들의 포트폴리오를 확인할 수 있도록 목록화 함</t>
    <phoneticPr fontId="2" type="noConversion"/>
  </si>
  <si>
    <t>사용자가 포트폴리오를 삭제하고 싶을 경우 비밀번호 확인 후 삭제할 수 있도록 함</t>
  </si>
  <si>
    <t>포트폴리오는 단 추가 형식으로 작성할 수 있도록 하며, public/private을 통해 공개 여부를 설정할 수 있도록 함, 사용자 당 1개의 포트폴리오만 작성 가능하도록 함</t>
  </si>
  <si>
    <t>단: 사진, 동영상, 프로젝트(주제, git), 설명</t>
  </si>
  <si>
    <t>포트폴리오 페이지에서 public으로 설정된 사람들의 포트폴리오를 확인할 수 있도록 목록화 함</t>
  </si>
  <si>
    <t>사용자 정보, 패스워드 등은 소스코드에 직접 하드코딩하지 않음</t>
  </si>
  <si>
    <t>완료여부</t>
    <phoneticPr fontId="2" type="noConversion"/>
  </si>
  <si>
    <t>개수</t>
    <phoneticPr fontId="2" type="noConversion"/>
  </si>
  <si>
    <t>ID NUMBER</t>
    <phoneticPr fontId="2" type="noConversion"/>
  </si>
  <si>
    <t>R-044</t>
    <phoneticPr fontId="2" type="noConversion"/>
  </si>
  <si>
    <t>데이터 정합성 검증</t>
    <phoneticPr fontId="2" type="noConversion"/>
  </si>
  <si>
    <t>외부 데이터 연계 시, 반드시 데이터 정합성을 체크하고 로그를 유지하도록 함</t>
    <phoneticPr fontId="2" type="noConversion"/>
  </si>
  <si>
    <t>스프린트</t>
    <phoneticPr fontId="2" type="noConversion"/>
  </si>
  <si>
    <t>완료개수</t>
    <phoneticPr fontId="2" type="noConversion"/>
  </si>
  <si>
    <t>현재완료개수</t>
    <phoneticPr fontId="2" type="noConversion"/>
  </si>
  <si>
    <t>날짜</t>
    <phoneticPr fontId="2" type="noConversion"/>
  </si>
  <si>
    <t>남은개수</t>
    <phoneticPr fontId="2" type="noConversion"/>
  </si>
  <si>
    <t>입력사항: 아이디, 비밀번호, 이름, 닉네임, 전화번호, 이메일, 관심분야, 생년월일, 성별, (추가정보: github 주소)</t>
  </si>
  <si>
    <t>중복확인 버튼으로 체크</t>
  </si>
  <si>
    <t>개발기간(일)</t>
    <phoneticPr fontId="2" type="noConversion"/>
  </si>
  <si>
    <t>&lt;1</t>
  </si>
  <si>
    <t>&lt;1</t>
    <phoneticPr fontId="2" type="noConversion"/>
  </si>
  <si>
    <t>BACK</t>
  </si>
  <si>
    <t>로그인 데이터 처리</t>
    <phoneticPr fontId="2" type="noConversion"/>
  </si>
  <si>
    <t>R-046</t>
  </si>
  <si>
    <t>R-048</t>
  </si>
  <si>
    <t>입력된 로그인 정보를 DB 데이터와 비교하여 성공 여부를 반환하도록 함</t>
  </si>
  <si>
    <t>조회: 아이디, 비밀번호
출력: 성공여부</t>
    <phoneticPr fontId="2" type="noConversion"/>
  </si>
  <si>
    <t>조회: 이름, 이메일 -&gt; 아이디
출력: 성공여부</t>
    <phoneticPr fontId="2" type="noConversion"/>
  </si>
  <si>
    <t>비밀번호 찾기 DB 처리</t>
  </si>
  <si>
    <t>아이디 찾기 DB 처리</t>
    <phoneticPr fontId="2" type="noConversion"/>
  </si>
  <si>
    <t>입력된 아이디, 이름, 이메일을 DB의 데이터와 비교하여 성공 여부를 반환하고, 성공 시 해당 이메일로 비밀번호를 전송하도록 함</t>
    <phoneticPr fontId="2" type="noConversion"/>
  </si>
  <si>
    <t>조회: 아이디, 이름, 이메일 -&gt; 비밀번호
출력: 성공여부</t>
    <phoneticPr fontId="2" type="noConversion"/>
  </si>
  <si>
    <t>아이디 중복확인 처리</t>
  </si>
  <si>
    <t>입력된 아이디를 DB의 데이터와 비교하여 성공 여부를 반환</t>
  </si>
  <si>
    <t>조회: 아이디
출력: 성공여부(미 존재 시 성공)</t>
  </si>
  <si>
    <t>R-049</t>
  </si>
  <si>
    <t>입력된 이름, 이메일을 DB의 데이터와 비교하여 성공 여부를 반환하고, 성공 시 해당 이메일로 아이디를 전송하도록 함</t>
    <phoneticPr fontId="2" type="noConversion"/>
  </si>
  <si>
    <t>포트폴리오 데이터 입력</t>
  </si>
  <si>
    <t>R-050</t>
  </si>
  <si>
    <t>입력된 포트폴리오 정보를 DB에 입력하고 성공 여부를 반환</t>
  </si>
  <si>
    <t>회원 데이터 입력</t>
  </si>
  <si>
    <t>입력된 회원 정보를 DB에 입력하고 성공 여부를 반환</t>
  </si>
  <si>
    <t>입력: 아이디, 비밀번호, 이름, 닉네임, 전화번호, 이메일, 관심분야, 생년월일, 성별, (추가정보: github 주소)
출력: 성공여부</t>
  </si>
  <si>
    <t>R-051</t>
  </si>
  <si>
    <t>포트폴리오 목록 조회</t>
  </si>
  <si>
    <t>포트폴리오 페이지에서 포트폴리오 목록이 조회되도록 함</t>
  </si>
  <si>
    <t>R-052</t>
  </si>
  <si>
    <t>시스템 주제에 맞게 진취적인 느낌의 밝은 컬러를 사용하도록 함</t>
    <phoneticPr fontId="2" type="noConversion"/>
  </si>
  <si>
    <t>삭제하려는 작성자의 포트폴리오를 DB에서 삭제하고 성공여부를 반환</t>
  </si>
  <si>
    <t>R-053</t>
  </si>
  <si>
    <t>포트폴리오 데이터 삭제</t>
  </si>
  <si>
    <t>포트폴리오 데이터 수정</t>
  </si>
  <si>
    <t>수정된 포트폴리오를 입력받아 DB에서 해당 사용자를 조회하여 내용을 수정하고 성공여부를 반환</t>
  </si>
  <si>
    <t>조회: 작성자 id
출력: 성공여부</t>
  </si>
  <si>
    <t>조회: 작성자 id
출력: 성공여부</t>
    <phoneticPr fontId="2" type="noConversion"/>
  </si>
  <si>
    <t>R-054</t>
  </si>
  <si>
    <t>자신의 프로필에서도 포트폴리오를 삭제할 수 있도록 함</t>
  </si>
  <si>
    <t>자신의 프로필에서도 포트폴리오를 삭제할 수 있도록 함</t>
    <phoneticPr fontId="2" type="noConversion"/>
  </si>
  <si>
    <t>포트폴리오 추천</t>
  </si>
  <si>
    <t>게시글에서 추천 버튼 클릭 시 추천 수가 올라가도록 하며, 사용자는 한 게시글 당 1개의 추천만 할 수 있도록 함, 또 각 사용자는 각 게시글 마다 추천 여부를 확인할 수 있도록 함</t>
    <phoneticPr fontId="2" type="noConversion"/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</si>
  <si>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</si>
  <si>
    <t>포트폴리오에서 추천 버튼 클릭 시 추천 수가 올라가도록 하며, 사용자는 한 포트폴리오 당 1개의 추천만 할 수 있도록 함, 또 각 사용자는 각 포트폴리오마다 추천 여부를 확인할 수 있도록 하고 추천한 포트폴리오는 따로 추천 목록에서 확인할 수 있도록 함</t>
    <phoneticPr fontId="2" type="noConversion"/>
  </si>
  <si>
    <t>R-055</t>
  </si>
  <si>
    <t>포트폴리오 추천 목록</t>
  </si>
  <si>
    <t>자신이 추천한 포트폴리오 목록을 확인할 수 있도록 함</t>
  </si>
  <si>
    <t>R-056</t>
  </si>
  <si>
    <t>게시글 스크랩 목록</t>
  </si>
  <si>
    <t>자신이 스크랩한 게시글 목록을 확인할 수 있도록 함</t>
  </si>
  <si>
    <t>R-057</t>
  </si>
  <si>
    <t>답글 수정</t>
    <phoneticPr fontId="2" type="noConversion"/>
  </si>
  <si>
    <t>포트폴리오 추천 처리</t>
  </si>
  <si>
    <t>조회: 사용자id -&gt; 포트폴리오 추천 수
처리: 추천 수 + 1
출력: 성공여부</t>
  </si>
  <si>
    <t>R-058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</si>
  <si>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</si>
  <si>
    <t>조회: 포트폴리오 제목, 포트폴리오 내용, 공개여부, 포트폴리오 추천 수, 작성자, 작성자 관심분야, 작성자 닉네임
출력: 포트폴리오 제목, 포트폴리오 내용, 포트폴리오 추천 수, 작성자 관심분야, 작성자 닉네임</t>
    <phoneticPr fontId="2" type="noConversion"/>
  </si>
  <si>
    <t>입력: 제목, 내용, 작성자, 공개여부
처리: 추천 수 0
출력: 성공여부</t>
  </si>
  <si>
    <t>입력: 제목, 내용, 작성자, 공개여부
처리: 추천 수 0
출력: 성공여부</t>
    <phoneticPr fontId="2" type="noConversion"/>
  </si>
  <si>
    <t>입력: 추천한 사용자
조회: 포트폴리오 작성자id -&gt; 포트폴리오 추천 수
처리: 추천 수 + 1
출력: 성공여부</t>
  </si>
  <si>
    <t>입력: 추천한 사용자
조회: 포트폴리오 작성자id -&gt; 포트폴리오 추천 수
처리: 추천 수 + 1
출력: 성공여부</t>
    <phoneticPr fontId="2" type="noConversion"/>
  </si>
  <si>
    <t>게시글에 추천이 되었을 때 다시 클릭하면 추천이 취소되도록 함</t>
    <phoneticPr fontId="2" type="noConversion"/>
  </si>
  <si>
    <t>포트폴리오 추천 취소</t>
  </si>
  <si>
    <t>포트폴리오에 추천이 되었을 때 다시 클릭하면 추천이 취소되도록 함</t>
  </si>
  <si>
    <t>포트폴리오에 추천이 되었을 때 다시 클릭하면 추천이 취소되도록 함</t>
    <phoneticPr fontId="2" type="noConversion"/>
  </si>
  <si>
    <t>R-059</t>
  </si>
  <si>
    <t>포트폴리오 추천 취소 처리</t>
  </si>
  <si>
    <t>포트폴리오 추천 취소 처리</t>
    <phoneticPr fontId="2" type="noConversion"/>
  </si>
  <si>
    <t>입력: 취소한 사용자
조회: 포트폴리오 작성자id -&gt; 포트폴리오 추천 수, 추천한 사용자
처리: 추천 수 + 1, 추천한 사용자 삭제
출력: 성공여부</t>
  </si>
  <si>
    <t>해당 사용자의 포트폴리오 추천 수를 1 증가시킨 후 추천한 사용자를 DB에 입력시키고 성공 여부를 반환</t>
  </si>
  <si>
    <t>해당 사용자의 포트폴리오 추천 수를 1 증가시킨 후 추천한 사용자를 DB에 입력시키고 성공 여부를 반환</t>
    <phoneticPr fontId="2" type="noConversion"/>
  </si>
  <si>
    <t>해당 사용자의 포트폴리오 추천 수를 1 감소시킨 후 추천한 사용자를 DB에서 삭제하고 성공 여부를 반환</t>
  </si>
  <si>
    <t>R-060</t>
  </si>
  <si>
    <t>R-047</t>
  </si>
  <si>
    <t>깃허브에서 허가 요청을 보내 연동 처리하며 연동이 완료된 사용자는 DB에 github 주소를 입력하고 성공여부를 반환</t>
  </si>
  <si>
    <t>깃허브에서 허가 요청을 보내 연동 처리하며 연동이 완료된 사용자는 DB에 github 주소를 입력하고 성공여부를 반환</t>
    <phoneticPr fontId="2" type="noConversion"/>
  </si>
  <si>
    <t>입력: 사용자 github 주소
출력: 성공여부</t>
  </si>
  <si>
    <t>입력: 사용자 github 주소
출력: 성공여부</t>
    <phoneticPr fontId="2" type="noConversion"/>
  </si>
  <si>
    <t>github 연동 처리</t>
  </si>
  <si>
    <t>github 연동 처리</t>
    <phoneticPr fontId="2" type="noConversion"/>
  </si>
  <si>
    <t>R-061</t>
  </si>
  <si>
    <t>로그인 데이터 처리</t>
  </si>
  <si>
    <t>조회: 아이디, 비밀번호
출력: 성공여부</t>
  </si>
  <si>
    <t>아이디 찾기 DB 처리</t>
  </si>
  <si>
    <t>입력된 이름, 이메일을 DB의 데이터와 비교하여 성공 여부를 반환하고, 성공 시 해당 이메일로 아이디를 전송하도록 함</t>
  </si>
  <si>
    <t>조회: 이름, 이메일 -&gt; 아이디
출력: 성공여부</t>
  </si>
  <si>
    <t>입력된 아이디, 이름, 이메일을 DB의 데이터와 비교하여 성공 여부를 반환하고, 성공 시 해당 이메일로 비밀번호를 전송하도록 함</t>
  </si>
  <si>
    <t>조회: 아이디, 이름, 이메일 -&gt; 비밀번호
출력: 성공여부</t>
  </si>
  <si>
    <t>&lt;2</t>
  </si>
  <si>
    <t>&lt;2</t>
    <phoneticPr fontId="2" type="noConversion"/>
  </si>
  <si>
    <t>&lt;5</t>
  </si>
  <si>
    <t>&lt;5</t>
    <phoneticPr fontId="2" type="noConversion"/>
  </si>
  <si>
    <t>&lt;3</t>
  </si>
  <si>
    <t>&lt;3</t>
    <phoneticPr fontId="2" type="noConversion"/>
  </si>
  <si>
    <t>R-062</t>
    <phoneticPr fontId="2" type="noConversion"/>
  </si>
  <si>
    <t>o</t>
  </si>
  <si>
    <t>v2.1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</si>
</sst>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;@"/>
  </numFmts>
  <fonts count="9"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  <font>
      <sz val="12"/>
      <color rgb="FF000000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sz val="36"/>
      <color theme="1"/>
      <name val="맑은 고딕"/>
      <family val="2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/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hair">
        <color indexed="64"/>
      </right>
      <top style="dotted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</borders>
  <cellStyleXfs count="1">
    <xf numFmtId="0" fontId="0" fillId="0" borderId="0">
      <alignment vertical="center"/>
    </xf>
  </cellStyleXfs>
  <cellXfs count="132">
    <xf numFmtId="0" fontId="0" fillId="0" borderId="0" xfId="0">
      <alignment vertical="center"/>
    </xf>
    <xf numFmtId="0" fontId="0" fillId="3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176" fontId="0" fillId="0" borderId="0" xfId="0" applyNumberFormat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</xf>
    <xf numFmtId="176" fontId="0" fillId="0" borderId="1" xfId="0" applyNumberFormat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</xf>
    <xf numFmtId="0" fontId="0" fillId="9" borderId="1" xfId="0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176" fontId="0" fillId="0" borderId="18" xfId="0" applyNumberFormat="1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176" fontId="0" fillId="0" borderId="22" xfId="0" applyNumberFormat="1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176" fontId="0" fillId="0" borderId="20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Alignment="1" applyProtection="1">
      <alignment vertical="center"/>
    </xf>
    <xf numFmtId="0" fontId="0" fillId="0" borderId="16" xfId="0" applyBorder="1" applyAlignment="1" applyProtection="1">
      <alignment horizontal="center" vertical="center"/>
      <protection locked="0"/>
    </xf>
    <xf numFmtId="176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9" borderId="1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23" xfId="0" applyBorder="1" applyAlignment="1" applyProtection="1">
      <alignment horizontal="center" vertical="center"/>
      <protection locked="0"/>
    </xf>
    <xf numFmtId="0" fontId="5" fillId="0" borderId="23" xfId="0" applyFont="1" applyBorder="1">
      <alignment vertical="center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center"/>
      <protection locked="0"/>
    </xf>
    <xf numFmtId="0" fontId="0" fillId="0" borderId="25" xfId="0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1" fillId="11" borderId="1" xfId="0" applyFont="1" applyFill="1" applyBorder="1" applyAlignment="1">
      <alignment horizontal="center" vertical="center"/>
    </xf>
    <xf numFmtId="0" fontId="0" fillId="12" borderId="1" xfId="0" applyFont="1" applyFill="1" applyBorder="1" applyAlignment="1" applyProtection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14" fontId="1" fillId="12" borderId="1" xfId="0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76" fontId="0" fillId="0" borderId="28" xfId="0" applyNumberFormat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 wrapText="1"/>
    </xf>
    <xf numFmtId="0" fontId="0" fillId="0" borderId="28" xfId="0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/>
      <protection locked="0"/>
    </xf>
    <xf numFmtId="0" fontId="5" fillId="0" borderId="28" xfId="0" applyFont="1" applyBorder="1" applyAlignment="1" applyProtection="1">
      <alignment horizontal="center" vertical="center" wrapText="1"/>
      <protection locked="0"/>
    </xf>
    <xf numFmtId="0" fontId="0" fillId="0" borderId="28" xfId="0" applyBorder="1" applyAlignment="1" applyProtection="1">
      <alignment horizontal="center" vertical="center" wrapText="1"/>
      <protection locked="0"/>
    </xf>
    <xf numFmtId="176" fontId="5" fillId="0" borderId="28" xfId="0" applyNumberFormat="1" applyFont="1" applyBorder="1" applyAlignment="1" applyProtection="1">
      <alignment horizontal="center" vertical="center"/>
      <protection locked="0"/>
    </xf>
    <xf numFmtId="0" fontId="5" fillId="0" borderId="28" xfId="0" applyFont="1" applyBorder="1">
      <alignment vertical="center"/>
    </xf>
    <xf numFmtId="0" fontId="0" fillId="0" borderId="29" xfId="0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0" fillId="0" borderId="32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</xf>
    <xf numFmtId="0" fontId="0" fillId="9" borderId="1" xfId="0" applyFill="1" applyBorder="1" applyAlignment="1" applyProtection="1">
      <alignment horizontal="center" vertical="center"/>
    </xf>
    <xf numFmtId="0" fontId="3" fillId="10" borderId="5" xfId="0" applyFont="1" applyFill="1" applyBorder="1" applyAlignment="1" applyProtection="1">
      <alignment horizontal="center" vertical="center"/>
    </xf>
    <xf numFmtId="0" fontId="3" fillId="10" borderId="6" xfId="0" applyFont="1" applyFill="1" applyBorder="1" applyAlignment="1" applyProtection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</xf>
    <xf numFmtId="0" fontId="3" fillId="10" borderId="8" xfId="0" applyFont="1" applyFill="1" applyBorder="1" applyAlignment="1" applyProtection="1">
      <alignment horizontal="center" vertical="center"/>
    </xf>
    <xf numFmtId="0" fontId="3" fillId="10" borderId="0" xfId="0" applyFont="1" applyFill="1" applyBorder="1" applyAlignment="1" applyProtection="1">
      <alignment horizontal="center" vertical="center"/>
    </xf>
    <xf numFmtId="0" fontId="3" fillId="10" borderId="9" xfId="0" applyFont="1" applyFill="1" applyBorder="1" applyAlignment="1" applyProtection="1">
      <alignment horizontal="center" vertical="center"/>
    </xf>
    <xf numFmtId="0" fontId="3" fillId="10" borderId="10" xfId="0" applyFont="1" applyFill="1" applyBorder="1" applyAlignment="1" applyProtection="1">
      <alignment horizontal="center" vertical="center"/>
    </xf>
    <xf numFmtId="0" fontId="3" fillId="10" borderId="11" xfId="0" applyFont="1" applyFill="1" applyBorder="1" applyAlignment="1" applyProtection="1">
      <alignment horizontal="center" vertical="center"/>
    </xf>
    <xf numFmtId="0" fontId="3" fillId="10" borderId="12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9" borderId="13" xfId="0" applyFill="1" applyBorder="1" applyAlignment="1" applyProtection="1">
      <alignment horizontal="center" vertical="center"/>
    </xf>
    <xf numFmtId="0" fontId="0" fillId="9" borderId="14" xfId="0" applyFill="1" applyBorder="1" applyAlignment="1" applyProtection="1">
      <alignment horizontal="center" vertical="center"/>
    </xf>
    <xf numFmtId="0" fontId="0" fillId="9" borderId="15" xfId="0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11" borderId="13" xfId="0" applyFont="1" applyFill="1" applyBorder="1" applyAlignment="1">
      <alignment horizontal="center" vertical="center"/>
    </xf>
    <xf numFmtId="0" fontId="1" fillId="11" borderId="14" xfId="0" applyFont="1" applyFill="1" applyBorder="1" applyAlignment="1">
      <alignment horizontal="center" vertical="center"/>
    </xf>
    <xf numFmtId="0" fontId="1" fillId="11" borderId="15" xfId="0" applyFont="1" applyFill="1" applyBorder="1" applyAlignment="1">
      <alignment horizontal="center" vertical="center"/>
    </xf>
    <xf numFmtId="0" fontId="8" fillId="10" borderId="5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0" borderId="10" xfId="0" applyFont="1" applyFill="1" applyBorder="1" applyAlignment="1">
      <alignment horizontal="center" vertical="center"/>
    </xf>
    <xf numFmtId="0" fontId="8" fillId="10" borderId="11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6" fillId="10" borderId="5" xfId="0" applyFont="1" applyFill="1" applyBorder="1" applyAlignment="1">
      <alignment horizontal="center" vertical="center"/>
    </xf>
    <xf numFmtId="0" fontId="6" fillId="10" borderId="6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2" xfId="0" applyFont="1" applyFill="1" applyBorder="1" applyAlignment="1">
      <alignment horizontal="center" vertical="center"/>
    </xf>
    <xf numFmtId="0" fontId="7" fillId="10" borderId="5" xfId="0" applyFont="1" applyFill="1" applyBorder="1" applyAlignment="1">
      <alignment horizontal="center" vertical="center"/>
    </xf>
    <xf numFmtId="0" fontId="7" fillId="10" borderId="6" xfId="0" applyFont="1" applyFill="1" applyBorder="1" applyAlignment="1">
      <alignment horizontal="center" vertical="center"/>
    </xf>
    <xf numFmtId="0" fontId="7" fillId="10" borderId="7" xfId="0" applyFont="1" applyFill="1" applyBorder="1" applyAlignment="1">
      <alignment horizontal="center" vertical="center"/>
    </xf>
    <xf numFmtId="0" fontId="7" fillId="10" borderId="8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7" fillId="10" borderId="11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스프린트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DB!$I$2</c:f>
              <c:strCache>
                <c:ptCount val="1"/>
                <c:pt idx="0">
                  <c:v>남은개수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DB!$G$3:$G$10000</c:f>
              <c:numCache>
                <c:formatCode>yyyy\-mm\-dd;@</c:formatCode>
                <c:ptCount val="9998"/>
                <c:pt idx="0">
                  <c:v>44572</c:v>
                </c:pt>
              </c:numCache>
            </c:numRef>
          </c:cat>
          <c:val>
            <c:numRef>
              <c:f>DB!$I$3:$I$10000</c:f>
              <c:numCache>
                <c:formatCode>General</c:formatCode>
                <c:ptCount val="9998"/>
                <c:pt idx="0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E-C4EB-7B42-80FB-4046EADB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4571792"/>
        <c:axId val="1074574032"/>
      </c:lineChart>
      <c:dateAx>
        <c:axId val="1074571792"/>
        <c:scaling>
          <c:orientation val="minMax"/>
        </c:scaling>
        <c:delete val="0"/>
        <c:axPos val="b"/>
        <c:numFmt formatCode="yyyy\-mm\-d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4032"/>
        <c:crosses val="autoZero"/>
        <c:auto val="1"/>
        <c:lblOffset val="100"/>
        <c:baseTimeUnit val="days"/>
      </c:dateAx>
      <c:valAx>
        <c:axId val="1074574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07457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5" noThreeD="1" sel="1" val="0">
  <itemLst>
    <item val="1sp"/>
    <item val="2sp"/>
    <item val="3sp"/>
    <item val="4sp"/>
  </itemLst>
</formControlPr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5</xdr:row>
          <xdr:rowOff>38100</xdr:rowOff>
        </xdr:from>
        <xdr:to>
          <xdr:col>5</xdr:col>
          <xdr:colOff>774700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10</xdr:row>
          <xdr:rowOff>38100</xdr:rowOff>
        </xdr:from>
        <xdr:to>
          <xdr:col>5</xdr:col>
          <xdr:colOff>1689100</xdr:colOff>
          <xdr:row>11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13</xdr:row>
          <xdr:rowOff>38100</xdr:rowOff>
        </xdr:from>
        <xdr:to>
          <xdr:col>6</xdr:col>
          <xdr:colOff>1625600</xdr:colOff>
          <xdr:row>14</xdr:row>
          <xdr:rowOff>177800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수정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165100</xdr:colOff>
          <xdr:row>13</xdr:row>
          <xdr:rowOff>38100</xdr:rowOff>
        </xdr:from>
        <xdr:to>
          <xdr:col>5</xdr:col>
          <xdr:colOff>1689100</xdr:colOff>
          <xdr:row>14</xdr:row>
          <xdr:rowOff>177800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요구사항 불러오기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3</xdr:row>
      <xdr:rowOff>101600</xdr:rowOff>
    </xdr:from>
    <xdr:to>
      <xdr:col>17</xdr:col>
      <xdr:colOff>812800</xdr:colOff>
      <xdr:row>26</xdr:row>
      <xdr:rowOff>50800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101600</xdr:colOff>
          <xdr:row>2</xdr:row>
          <xdr:rowOff>101600</xdr:rowOff>
        </xdr:from>
        <xdr:to>
          <xdr:col>11</xdr:col>
          <xdr:colOff>825500</xdr:colOff>
          <xdr:row>4</xdr:row>
          <xdr:rowOff>139700</xdr:rowOff>
        </xdr:to>
        <xdr:sp macro="" textlink="">
          <xdr:nvSpPr>
            <xdr:cNvPr id="3074" name="spri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4673600</xdr:colOff>
          <xdr:row>0</xdr:row>
          <xdr:rowOff>127000</xdr:rowOff>
        </xdr:from>
        <xdr:to>
          <xdr:col>8</xdr:col>
          <xdr:colOff>533400</xdr:colOff>
          <xdr:row>2</xdr:row>
          <xdr:rowOff>25400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진행상황 저장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7B958-0BEA-034B-9F01-651E91C8EE09}">
  <sheetPr codeName="Sheet1"/>
  <dimension ref="A1:O83"/>
  <sheetViews>
    <sheetView showGridLines="0" tabSelected="1" workbookViewId="0">
      <selection activeCell="B5" sqref="B5"/>
    </sheetView>
  </sheetViews>
  <sheetFormatPr baseColWidth="10" defaultRowHeight="18"/>
  <cols>
    <col min="1" max="1" width="5.7109375" style="13" customWidth="1"/>
    <col min="2" max="2" width="10.7109375" style="13"/>
    <col min="3" max="3" width="8.7109375" style="13" customWidth="1"/>
    <col min="4" max="5" width="10.7109375" style="13"/>
    <col min="6" max="6" width="20.7109375" style="13" customWidth="1"/>
    <col min="7" max="7" width="80.7109375" style="13" customWidth="1"/>
    <col min="8" max="8" width="50.7109375" style="13" customWidth="1"/>
    <col min="9" max="9" width="10.7109375" style="13"/>
    <col min="10" max="10" width="12.7109375" style="14" customWidth="1"/>
    <col min="11" max="13" width="3.7109375" style="13" customWidth="1"/>
    <col min="14" max="14" width="6.7109375" style="13" customWidth="1"/>
    <col min="15" max="15" width="8.5703125" style="13" bestFit="1" customWidth="1"/>
    <col min="16" max="16384" width="10.7109375" style="35"/>
  </cols>
  <sheetData>
    <row r="1" spans="1:15" ht="18" customHeight="1">
      <c r="A1" s="82" t="s">
        <v>29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4"/>
    </row>
    <row r="2" spans="1:15" ht="18" customHeight="1">
      <c r="A2" s="85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7"/>
    </row>
    <row r="3" spans="1:15" ht="18" customHeight="1">
      <c r="A3" s="88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90"/>
      <c r="O3" s="35"/>
    </row>
    <row r="4" spans="1:15">
      <c r="A4" s="18" t="s">
        <v>31</v>
      </c>
      <c r="B4" s="17" t="s">
        <v>336</v>
      </c>
      <c r="C4" s="18" t="s">
        <v>8</v>
      </c>
      <c r="D4" s="17" t="s">
        <v>32</v>
      </c>
      <c r="E4" s="18" t="s">
        <v>33</v>
      </c>
      <c r="F4" s="16">
        <v>44573</v>
      </c>
      <c r="G4" s="19"/>
      <c r="H4" s="19"/>
      <c r="I4" s="19"/>
      <c r="J4" s="19"/>
      <c r="K4" s="19"/>
      <c r="L4" s="19"/>
      <c r="M4" s="35"/>
      <c r="N4" s="19"/>
      <c r="O4" s="35"/>
    </row>
    <row r="5" spans="1:15">
      <c r="A5" s="19"/>
      <c r="B5" s="19"/>
      <c r="C5" s="19"/>
      <c r="D5" s="19"/>
      <c r="E5" s="19"/>
      <c r="F5" s="19"/>
      <c r="G5" s="19"/>
      <c r="H5" s="80"/>
      <c r="I5" s="19"/>
      <c r="J5" s="19"/>
      <c r="K5" s="19"/>
      <c r="L5" s="19"/>
      <c r="M5" s="35"/>
      <c r="N5" s="19"/>
      <c r="O5" s="35"/>
    </row>
    <row r="6" spans="1:15">
      <c r="A6" s="91" t="s">
        <v>38</v>
      </c>
      <c r="B6" s="92"/>
      <c r="C6" s="92"/>
      <c r="D6" s="93"/>
      <c r="E6" s="19"/>
      <c r="F6" s="19"/>
      <c r="G6" s="19"/>
      <c r="H6" s="19"/>
      <c r="I6" s="19"/>
      <c r="J6" s="19"/>
      <c r="K6" s="19"/>
      <c r="L6" s="19"/>
      <c r="M6" s="35"/>
      <c r="N6" s="19"/>
      <c r="O6" s="35"/>
    </row>
    <row r="7" spans="1:15">
      <c r="A7" s="94"/>
      <c r="B7" s="95"/>
      <c r="C7" s="95"/>
      <c r="D7" s="96"/>
      <c r="E7" s="19"/>
      <c r="F7" s="19"/>
      <c r="G7" s="19"/>
      <c r="H7" s="19"/>
      <c r="I7" s="19"/>
      <c r="J7" s="19"/>
      <c r="K7" s="19"/>
      <c r="L7" s="19"/>
      <c r="M7" s="35"/>
      <c r="N7" s="19"/>
      <c r="O7" s="35"/>
    </row>
    <row r="8" spans="1:15">
      <c r="A8" s="15" t="s">
        <v>3</v>
      </c>
      <c r="B8" s="15" t="s">
        <v>2</v>
      </c>
      <c r="C8" s="15" t="s">
        <v>0</v>
      </c>
      <c r="D8" s="15" t="s">
        <v>1</v>
      </c>
      <c r="E8" s="15" t="s">
        <v>4</v>
      </c>
      <c r="F8" s="15" t="s">
        <v>6</v>
      </c>
      <c r="G8" s="15" t="s">
        <v>5</v>
      </c>
      <c r="H8" s="15" t="s">
        <v>7</v>
      </c>
      <c r="I8" s="15" t="s">
        <v>8</v>
      </c>
      <c r="J8" s="15" t="s">
        <v>9</v>
      </c>
      <c r="K8" s="15" t="s">
        <v>10</v>
      </c>
      <c r="L8" s="15" t="s">
        <v>12</v>
      </c>
      <c r="M8" s="15" t="s">
        <v>24</v>
      </c>
      <c r="N8" s="21" t="s">
        <v>30</v>
      </c>
      <c r="O8" s="35"/>
    </row>
    <row r="9" spans="1:15" ht="38">
      <c r="A9" s="37"/>
      <c r="B9" s="22" t="s">
        <v>44</v>
      </c>
      <c r="C9" s="37"/>
      <c r="D9" s="22" t="s">
        <v>243</v>
      </c>
      <c r="E9" s="22" t="s">
        <v>142</v>
      </c>
      <c r="F9" s="22" t="s">
        <v>319</v>
      </c>
      <c r="G9" s="26" t="s">
        <v>315</v>
      </c>
      <c r="H9" s="26" t="s">
        <v>317</v>
      </c>
      <c r="I9" s="22" t="s">
        <v>32</v>
      </c>
      <c r="J9" s="38"/>
      <c r="K9" s="37"/>
      <c r="L9" s="37"/>
      <c r="M9" s="39"/>
      <c r="N9" s="22" t="s">
        <v>43</v>
      </c>
      <c r="O9" s="35"/>
    </row>
    <row r="10" spans="1:15">
      <c r="A10" s="19"/>
      <c r="B10" s="19"/>
      <c r="C10" s="19"/>
      <c r="D10" s="19"/>
      <c r="E10" s="19"/>
      <c r="F10" s="19"/>
      <c r="G10" s="19"/>
      <c r="H10" s="19"/>
      <c r="I10" s="19"/>
      <c r="J10" s="20"/>
      <c r="K10" s="19"/>
      <c r="L10" s="19"/>
      <c r="M10" s="35"/>
      <c r="N10" s="19"/>
      <c r="O10" s="35"/>
    </row>
    <row r="11" spans="1:15">
      <c r="A11" s="97" t="s">
        <v>39</v>
      </c>
      <c r="B11" s="97"/>
      <c r="C11" s="97"/>
      <c r="D11" s="97"/>
      <c r="E11" s="15" t="s">
        <v>0</v>
      </c>
      <c r="F11" s="36"/>
      <c r="G11" s="19"/>
      <c r="H11" s="19"/>
      <c r="I11" s="19"/>
      <c r="J11" s="19"/>
      <c r="K11" s="19"/>
      <c r="L11" s="19"/>
      <c r="M11" s="35"/>
      <c r="N11" s="19"/>
      <c r="O11" s="35"/>
    </row>
    <row r="12" spans="1:15">
      <c r="A12" s="97"/>
      <c r="B12" s="97"/>
      <c r="C12" s="97"/>
      <c r="D12" s="97"/>
      <c r="E12" s="22" t="s">
        <v>334</v>
      </c>
      <c r="F12" s="36"/>
      <c r="G12" s="19"/>
      <c r="H12" s="19"/>
      <c r="I12" s="19"/>
      <c r="J12" s="19"/>
      <c r="K12" s="19"/>
      <c r="L12" s="19"/>
      <c r="M12" s="35"/>
      <c r="N12" s="19"/>
      <c r="O12" s="35"/>
    </row>
    <row r="13" spans="1:1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35"/>
      <c r="N13" s="19"/>
      <c r="O13" s="35"/>
    </row>
    <row r="14" spans="1:15">
      <c r="A14" s="91" t="s">
        <v>40</v>
      </c>
      <c r="B14" s="92"/>
      <c r="C14" s="92"/>
      <c r="D14" s="93"/>
      <c r="E14" s="15" t="s">
        <v>0</v>
      </c>
      <c r="F14" s="19"/>
      <c r="G14" s="19"/>
      <c r="H14" s="19"/>
      <c r="I14" s="19"/>
      <c r="J14" s="19"/>
      <c r="K14" s="19"/>
      <c r="L14" s="19"/>
      <c r="M14" s="35"/>
      <c r="N14" s="19"/>
      <c r="O14" s="35"/>
    </row>
    <row r="15" spans="1:15">
      <c r="A15" s="94"/>
      <c r="B15" s="95"/>
      <c r="C15" s="95"/>
      <c r="D15" s="96"/>
      <c r="E15" s="22" t="s">
        <v>230</v>
      </c>
      <c r="F15" s="19"/>
      <c r="G15" s="19"/>
      <c r="H15" s="19"/>
      <c r="I15" s="19"/>
      <c r="J15" s="19"/>
      <c r="K15" s="19"/>
      <c r="L15" s="19"/>
      <c r="M15" s="35"/>
      <c r="N15" s="19"/>
      <c r="O15" s="35"/>
    </row>
    <row r="16" spans="1:15">
      <c r="A16" s="15" t="s">
        <v>3</v>
      </c>
      <c r="B16" s="15" t="s">
        <v>2</v>
      </c>
      <c r="C16" s="15" t="s">
        <v>0</v>
      </c>
      <c r="D16" s="15" t="s">
        <v>1</v>
      </c>
      <c r="E16" s="15" t="s">
        <v>4</v>
      </c>
      <c r="F16" s="15" t="s">
        <v>6</v>
      </c>
      <c r="G16" s="15" t="s">
        <v>5</v>
      </c>
      <c r="H16" s="15" t="s">
        <v>7</v>
      </c>
      <c r="I16" s="15" t="s">
        <v>8</v>
      </c>
      <c r="J16" s="15" t="s">
        <v>9</v>
      </c>
      <c r="K16" s="15" t="s">
        <v>10</v>
      </c>
      <c r="L16" s="15" t="s">
        <v>12</v>
      </c>
      <c r="M16" s="15" t="s">
        <v>24</v>
      </c>
      <c r="N16" s="21" t="s">
        <v>30</v>
      </c>
      <c r="O16" s="35"/>
    </row>
    <row r="17" spans="1:15">
      <c r="A17" s="22">
        <v>44</v>
      </c>
      <c r="B17" s="22" t="s">
        <v>26</v>
      </c>
      <c r="C17" s="22" t="s">
        <v>230</v>
      </c>
      <c r="D17" s="22" t="s">
        <v>17</v>
      </c>
      <c r="E17" s="22" t="s">
        <v>16</v>
      </c>
      <c r="F17" s="22" t="s">
        <v>231</v>
      </c>
      <c r="G17" s="22" t="s">
        <v>232</v>
      </c>
      <c r="H17" s="26"/>
      <c r="I17" s="22" t="s">
        <v>32</v>
      </c>
      <c r="J17" s="34">
        <v>44571</v>
      </c>
      <c r="K17" s="22"/>
      <c r="L17" s="22"/>
      <c r="M17" s="22"/>
      <c r="N17" s="22" t="s">
        <v>43</v>
      </c>
      <c r="O17" s="35"/>
    </row>
    <row r="18" spans="1:1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35"/>
      <c r="N18" s="19"/>
      <c r="O18" s="35"/>
    </row>
    <row r="19" spans="1:15">
      <c r="A19" s="98" t="s">
        <v>21</v>
      </c>
      <c r="B19" s="99"/>
      <c r="C19" s="99"/>
      <c r="D19" s="99"/>
      <c r="E19" s="99"/>
      <c r="F19" s="100"/>
      <c r="G19" s="81" t="s">
        <v>22</v>
      </c>
      <c r="H19" s="81"/>
      <c r="I19" s="81" t="s">
        <v>23</v>
      </c>
      <c r="J19" s="81"/>
      <c r="K19" s="81" t="s">
        <v>11</v>
      </c>
      <c r="L19" s="81"/>
      <c r="M19" s="81"/>
      <c r="N19" s="21" t="s">
        <v>30</v>
      </c>
      <c r="O19" s="53" t="s">
        <v>227</v>
      </c>
    </row>
    <row r="20" spans="1:15">
      <c r="A20" s="15" t="s">
        <v>3</v>
      </c>
      <c r="B20" s="15" t="s">
        <v>2</v>
      </c>
      <c r="C20" s="15" t="s">
        <v>0</v>
      </c>
      <c r="D20" s="15" t="s">
        <v>1</v>
      </c>
      <c r="E20" s="15" t="s">
        <v>4</v>
      </c>
      <c r="F20" s="15" t="s">
        <v>6</v>
      </c>
      <c r="G20" s="15" t="s">
        <v>5</v>
      </c>
      <c r="H20" s="15" t="s">
        <v>7</v>
      </c>
      <c r="I20" s="15" t="s">
        <v>8</v>
      </c>
      <c r="J20" s="15" t="s">
        <v>9</v>
      </c>
      <c r="K20" s="15" t="s">
        <v>10</v>
      </c>
      <c r="L20" s="15" t="s">
        <v>12</v>
      </c>
      <c r="M20" s="15" t="s">
        <v>24</v>
      </c>
      <c r="N20" s="15" t="s">
        <v>30</v>
      </c>
      <c r="O20" s="54" t="s">
        <v>227</v>
      </c>
    </row>
    <row r="21" spans="1:15">
      <c r="A21" s="27">
        <v>1</v>
      </c>
      <c r="B21" s="23" t="s">
        <v>44</v>
      </c>
      <c r="C21" s="23" t="s">
        <v>45</v>
      </c>
      <c r="D21" s="23" t="s">
        <v>47</v>
      </c>
      <c r="E21" s="23" t="s">
        <v>48</v>
      </c>
      <c r="F21" s="23" t="s">
        <v>48</v>
      </c>
      <c r="G21" s="23" t="s">
        <v>50</v>
      </c>
      <c r="H21" s="23"/>
      <c r="I21" s="23" t="s">
        <v>51</v>
      </c>
      <c r="J21" s="28">
        <v>44567</v>
      </c>
      <c r="K21" s="23"/>
      <c r="L21" s="23"/>
      <c r="M21" s="23"/>
      <c r="N21" s="55" t="s">
        <v>41</v>
      </c>
      <c r="O21" s="57"/>
    </row>
    <row r="22" spans="1:15">
      <c r="A22" s="29">
        <v>2</v>
      </c>
      <c r="B22" s="25" t="s">
        <v>44</v>
      </c>
      <c r="C22" s="25" t="s">
        <v>42</v>
      </c>
      <c r="D22" s="25" t="s">
        <v>47</v>
      </c>
      <c r="E22" s="25" t="s">
        <v>48</v>
      </c>
      <c r="F22" s="25" t="s">
        <v>52</v>
      </c>
      <c r="G22" s="25" t="s">
        <v>53</v>
      </c>
      <c r="H22" s="25"/>
      <c r="I22" s="25" t="s">
        <v>51</v>
      </c>
      <c r="J22" s="30">
        <v>44567</v>
      </c>
      <c r="K22" s="25"/>
      <c r="L22" s="25"/>
      <c r="M22" s="25"/>
      <c r="N22" s="56" t="s">
        <v>54</v>
      </c>
      <c r="O22" s="58"/>
    </row>
    <row r="23" spans="1:15">
      <c r="A23" s="29">
        <v>3</v>
      </c>
      <c r="B23" s="25" t="s">
        <v>44</v>
      </c>
      <c r="C23" s="25" t="s">
        <v>46</v>
      </c>
      <c r="D23" s="25" t="s">
        <v>47</v>
      </c>
      <c r="E23" s="25" t="s">
        <v>48</v>
      </c>
      <c r="F23" s="25" t="s">
        <v>55</v>
      </c>
      <c r="G23" s="25" t="s">
        <v>60</v>
      </c>
      <c r="H23" s="25" t="s">
        <v>56</v>
      </c>
      <c r="I23" s="25" t="s">
        <v>51</v>
      </c>
      <c r="J23" s="30">
        <v>44567</v>
      </c>
      <c r="K23" s="25"/>
      <c r="L23" s="25"/>
      <c r="M23" s="25"/>
      <c r="N23" s="56" t="s">
        <v>57</v>
      </c>
      <c r="O23" s="58"/>
    </row>
    <row r="24" spans="1:15">
      <c r="A24" s="29">
        <v>4</v>
      </c>
      <c r="B24" s="25" t="s">
        <v>44</v>
      </c>
      <c r="C24" s="25" t="s">
        <v>62</v>
      </c>
      <c r="D24" s="25" t="s">
        <v>47</v>
      </c>
      <c r="E24" s="25" t="s">
        <v>48</v>
      </c>
      <c r="F24" s="25" t="s">
        <v>58</v>
      </c>
      <c r="G24" s="25" t="s">
        <v>59</v>
      </c>
      <c r="H24" s="25" t="s">
        <v>61</v>
      </c>
      <c r="I24" s="25" t="s">
        <v>51</v>
      </c>
      <c r="J24" s="30">
        <v>44567</v>
      </c>
      <c r="K24" s="25"/>
      <c r="L24" s="25"/>
      <c r="M24" s="25"/>
      <c r="N24" s="56" t="s">
        <v>57</v>
      </c>
      <c r="O24" s="58"/>
    </row>
    <row r="25" spans="1:15" ht="38">
      <c r="A25" s="29">
        <v>5</v>
      </c>
      <c r="B25" s="25" t="s">
        <v>44</v>
      </c>
      <c r="C25" s="25" t="s">
        <v>64</v>
      </c>
      <c r="D25" s="25" t="s">
        <v>47</v>
      </c>
      <c r="E25" s="25" t="s">
        <v>49</v>
      </c>
      <c r="F25" s="25" t="s">
        <v>49</v>
      </c>
      <c r="G25" s="25" t="s">
        <v>63</v>
      </c>
      <c r="H25" s="31" t="s">
        <v>145</v>
      </c>
      <c r="I25" s="25" t="s">
        <v>51</v>
      </c>
      <c r="J25" s="30">
        <v>44567</v>
      </c>
      <c r="K25" s="25"/>
      <c r="L25" s="25"/>
      <c r="M25" s="25"/>
      <c r="N25" s="56" t="s">
        <v>43</v>
      </c>
      <c r="O25" s="58"/>
    </row>
    <row r="26" spans="1:15">
      <c r="A26" s="29">
        <v>6</v>
      </c>
      <c r="B26" s="25" t="s">
        <v>44</v>
      </c>
      <c r="C26" s="25" t="s">
        <v>67</v>
      </c>
      <c r="D26" s="25" t="s">
        <v>47</v>
      </c>
      <c r="E26" s="25" t="s">
        <v>49</v>
      </c>
      <c r="F26" s="25" t="s">
        <v>65</v>
      </c>
      <c r="G26" s="25" t="s">
        <v>66</v>
      </c>
      <c r="H26" s="25" t="s">
        <v>72</v>
      </c>
      <c r="I26" s="25" t="s">
        <v>51</v>
      </c>
      <c r="J26" s="30">
        <v>44567</v>
      </c>
      <c r="K26" s="25"/>
      <c r="L26" s="25"/>
      <c r="M26" s="25"/>
      <c r="N26" s="56" t="s">
        <v>57</v>
      </c>
      <c r="O26" s="58"/>
    </row>
    <row r="27" spans="1:15">
      <c r="A27" s="29">
        <v>7</v>
      </c>
      <c r="B27" s="25" t="s">
        <v>44</v>
      </c>
      <c r="C27" s="25" t="s">
        <v>71</v>
      </c>
      <c r="D27" s="25" t="s">
        <v>47</v>
      </c>
      <c r="E27" s="25" t="s">
        <v>49</v>
      </c>
      <c r="F27" s="25" t="s">
        <v>68</v>
      </c>
      <c r="G27" s="25" t="s">
        <v>69</v>
      </c>
      <c r="H27" s="25" t="s">
        <v>70</v>
      </c>
      <c r="I27" s="25" t="s">
        <v>51</v>
      </c>
      <c r="J27" s="30">
        <v>44567</v>
      </c>
      <c r="K27" s="25"/>
      <c r="L27" s="25"/>
      <c r="M27" s="25"/>
      <c r="N27" s="56" t="s">
        <v>57</v>
      </c>
      <c r="O27" s="58"/>
    </row>
    <row r="28" spans="1:15">
      <c r="A28" s="29">
        <v>8</v>
      </c>
      <c r="B28" s="25" t="s">
        <v>25</v>
      </c>
      <c r="C28" s="25" t="s">
        <v>73</v>
      </c>
      <c r="D28" s="25" t="s">
        <v>47</v>
      </c>
      <c r="E28" s="25" t="s">
        <v>16</v>
      </c>
      <c r="F28" s="25" t="s">
        <v>75</v>
      </c>
      <c r="G28" s="25" t="s">
        <v>76</v>
      </c>
      <c r="H28" s="25" t="s">
        <v>77</v>
      </c>
      <c r="I28" s="25" t="s">
        <v>51</v>
      </c>
      <c r="J28" s="30">
        <v>44567</v>
      </c>
      <c r="K28" s="25"/>
      <c r="L28" s="25"/>
      <c r="M28" s="25"/>
      <c r="N28" s="56" t="s">
        <v>43</v>
      </c>
      <c r="O28" s="58"/>
    </row>
    <row r="29" spans="1:15">
      <c r="A29" s="29">
        <v>9</v>
      </c>
      <c r="B29" s="25" t="s">
        <v>25</v>
      </c>
      <c r="C29" s="25" t="s">
        <v>81</v>
      </c>
      <c r="D29" s="25" t="s">
        <v>47</v>
      </c>
      <c r="E29" s="25" t="s">
        <v>78</v>
      </c>
      <c r="F29" s="25" t="s">
        <v>79</v>
      </c>
      <c r="G29" s="25" t="s">
        <v>80</v>
      </c>
      <c r="H29" s="25"/>
      <c r="I29" s="25" t="s">
        <v>51</v>
      </c>
      <c r="J29" s="30">
        <v>44567</v>
      </c>
      <c r="K29" s="25"/>
      <c r="L29" s="25"/>
      <c r="M29" s="25"/>
      <c r="N29" s="56" t="s">
        <v>57</v>
      </c>
      <c r="O29" s="58"/>
    </row>
    <row r="30" spans="1:15">
      <c r="A30" s="29">
        <v>10</v>
      </c>
      <c r="B30" s="25" t="s">
        <v>25</v>
      </c>
      <c r="C30" s="25" t="s">
        <v>82</v>
      </c>
      <c r="D30" s="25" t="s">
        <v>74</v>
      </c>
      <c r="E30" s="25" t="s">
        <v>78</v>
      </c>
      <c r="F30" s="25" t="s">
        <v>85</v>
      </c>
      <c r="G30" s="25" t="s">
        <v>86</v>
      </c>
      <c r="H30" s="25"/>
      <c r="I30" s="25" t="s">
        <v>51</v>
      </c>
      <c r="J30" s="30">
        <v>44567</v>
      </c>
      <c r="K30" s="25"/>
      <c r="L30" s="25"/>
      <c r="M30" s="25"/>
      <c r="N30" s="56" t="s">
        <v>54</v>
      </c>
      <c r="O30" s="58"/>
    </row>
    <row r="31" spans="1:15">
      <c r="A31" s="29">
        <v>11</v>
      </c>
      <c r="B31" s="25" t="s">
        <v>25</v>
      </c>
      <c r="C31" s="25" t="s">
        <v>87</v>
      </c>
      <c r="D31" s="25" t="s">
        <v>47</v>
      </c>
      <c r="E31" s="25" t="s">
        <v>78</v>
      </c>
      <c r="F31" s="25" t="s">
        <v>83</v>
      </c>
      <c r="G31" s="25" t="s">
        <v>220</v>
      </c>
      <c r="H31" s="25" t="s">
        <v>84</v>
      </c>
      <c r="I31" s="25" t="s">
        <v>51</v>
      </c>
      <c r="J31" s="30">
        <v>44567</v>
      </c>
      <c r="K31" s="25"/>
      <c r="L31" s="25"/>
      <c r="M31" s="25"/>
      <c r="N31" s="56" t="s">
        <v>43</v>
      </c>
      <c r="O31" s="58"/>
    </row>
    <row r="32" spans="1:15" ht="38">
      <c r="A32" s="29">
        <v>12</v>
      </c>
      <c r="B32" s="25" t="s">
        <v>13</v>
      </c>
      <c r="C32" s="25" t="s">
        <v>92</v>
      </c>
      <c r="D32" s="25" t="s">
        <v>14</v>
      </c>
      <c r="E32" s="25" t="s">
        <v>88</v>
      </c>
      <c r="F32" s="25" t="s">
        <v>90</v>
      </c>
      <c r="G32" s="31" t="s">
        <v>100</v>
      </c>
      <c r="H32" s="25" t="s">
        <v>91</v>
      </c>
      <c r="I32" s="25" t="s">
        <v>51</v>
      </c>
      <c r="J32" s="30">
        <v>44567</v>
      </c>
      <c r="K32" s="25"/>
      <c r="L32" s="25"/>
      <c r="M32" s="25"/>
      <c r="N32" s="56" t="s">
        <v>43</v>
      </c>
      <c r="O32" s="58"/>
    </row>
    <row r="33" spans="1:15">
      <c r="A33" s="29">
        <v>13</v>
      </c>
      <c r="B33" s="25" t="s">
        <v>13</v>
      </c>
      <c r="C33" s="25" t="s">
        <v>94</v>
      </c>
      <c r="D33" s="25" t="s">
        <v>47</v>
      </c>
      <c r="E33" s="25" t="s">
        <v>88</v>
      </c>
      <c r="F33" s="25" t="s">
        <v>93</v>
      </c>
      <c r="G33" s="25" t="s">
        <v>96</v>
      </c>
      <c r="H33" s="51" t="s">
        <v>279</v>
      </c>
      <c r="I33" s="25" t="s">
        <v>51</v>
      </c>
      <c r="J33" s="30">
        <v>44567</v>
      </c>
      <c r="K33" s="25"/>
      <c r="L33" s="25"/>
      <c r="M33" s="25"/>
      <c r="N33" s="56" t="s">
        <v>43</v>
      </c>
      <c r="O33" s="58"/>
    </row>
    <row r="34" spans="1:15">
      <c r="A34" s="29">
        <v>14</v>
      </c>
      <c r="B34" s="25" t="s">
        <v>44</v>
      </c>
      <c r="C34" s="25" t="s">
        <v>98</v>
      </c>
      <c r="D34" s="25" t="s">
        <v>74</v>
      </c>
      <c r="E34" s="25" t="s">
        <v>88</v>
      </c>
      <c r="F34" s="25" t="s">
        <v>95</v>
      </c>
      <c r="G34" s="25" t="s">
        <v>97</v>
      </c>
      <c r="H34" s="52"/>
      <c r="I34" s="25" t="s">
        <v>51</v>
      </c>
      <c r="J34" s="30">
        <v>44567</v>
      </c>
      <c r="K34" s="25"/>
      <c r="L34" s="25"/>
      <c r="M34" s="25"/>
      <c r="N34" s="56" t="s">
        <v>43</v>
      </c>
      <c r="O34" s="58"/>
    </row>
    <row r="35" spans="1:15">
      <c r="A35" s="29">
        <v>15</v>
      </c>
      <c r="B35" s="25" t="s">
        <v>13</v>
      </c>
      <c r="C35" s="25" t="s">
        <v>101</v>
      </c>
      <c r="D35" s="25" t="s">
        <v>47</v>
      </c>
      <c r="E35" s="25" t="s">
        <v>88</v>
      </c>
      <c r="F35" s="25" t="s">
        <v>99</v>
      </c>
      <c r="G35" s="25" t="s">
        <v>221</v>
      </c>
      <c r="H35" s="25"/>
      <c r="I35" s="25" t="s">
        <v>51</v>
      </c>
      <c r="J35" s="30">
        <v>44567</v>
      </c>
      <c r="K35" s="25"/>
      <c r="L35" s="25"/>
      <c r="M35" s="25"/>
      <c r="N35" s="56" t="s">
        <v>41</v>
      </c>
      <c r="O35" s="58"/>
    </row>
    <row r="36" spans="1:15" ht="38">
      <c r="A36" s="29">
        <v>16</v>
      </c>
      <c r="B36" s="25" t="s">
        <v>13</v>
      </c>
      <c r="C36" s="25" t="s">
        <v>104</v>
      </c>
      <c r="D36" s="25" t="s">
        <v>47</v>
      </c>
      <c r="E36" s="25" t="s">
        <v>102</v>
      </c>
      <c r="F36" s="25" t="s">
        <v>103</v>
      </c>
      <c r="G36" s="31" t="s">
        <v>116</v>
      </c>
      <c r="H36" s="31" t="s">
        <v>105</v>
      </c>
      <c r="I36" s="25" t="s">
        <v>51</v>
      </c>
      <c r="J36" s="30">
        <v>44567</v>
      </c>
      <c r="K36" s="25"/>
      <c r="L36" s="25"/>
      <c r="M36" s="25"/>
      <c r="N36" s="56" t="s">
        <v>41</v>
      </c>
      <c r="O36" s="58"/>
    </row>
    <row r="37" spans="1:15" ht="76">
      <c r="A37" s="29">
        <v>17</v>
      </c>
      <c r="B37" s="25" t="s">
        <v>44</v>
      </c>
      <c r="C37" s="25" t="s">
        <v>108</v>
      </c>
      <c r="D37" s="25" t="s">
        <v>74</v>
      </c>
      <c r="E37" s="25" t="s">
        <v>102</v>
      </c>
      <c r="F37" s="25" t="s">
        <v>106</v>
      </c>
      <c r="G37" s="31" t="s">
        <v>107</v>
      </c>
      <c r="H37" s="31" t="s">
        <v>118</v>
      </c>
      <c r="I37" s="25" t="s">
        <v>51</v>
      </c>
      <c r="J37" s="30">
        <v>44567</v>
      </c>
      <c r="K37" s="25"/>
      <c r="L37" s="25"/>
      <c r="M37" s="25"/>
      <c r="N37" s="75" t="s">
        <v>41</v>
      </c>
      <c r="O37" s="58"/>
    </row>
    <row r="38" spans="1:15">
      <c r="A38" s="29">
        <v>18</v>
      </c>
      <c r="B38" s="25" t="s">
        <v>44</v>
      </c>
      <c r="C38" s="25" t="s">
        <v>111</v>
      </c>
      <c r="D38" s="25" t="s">
        <v>47</v>
      </c>
      <c r="E38" s="25" t="s">
        <v>102</v>
      </c>
      <c r="F38" s="25" t="s">
        <v>109</v>
      </c>
      <c r="G38" s="25" t="s">
        <v>110</v>
      </c>
      <c r="H38" s="25"/>
      <c r="I38" s="25" t="s">
        <v>51</v>
      </c>
      <c r="J38" s="30">
        <v>44567</v>
      </c>
      <c r="K38" s="25"/>
      <c r="L38" s="25"/>
      <c r="M38" s="25"/>
      <c r="N38" s="56" t="s">
        <v>41</v>
      </c>
      <c r="O38" s="58"/>
    </row>
    <row r="39" spans="1:15">
      <c r="A39" s="29">
        <v>19</v>
      </c>
      <c r="B39" s="25" t="s">
        <v>44</v>
      </c>
      <c r="C39" s="25" t="s">
        <v>115</v>
      </c>
      <c r="D39" s="25" t="s">
        <v>47</v>
      </c>
      <c r="E39" s="25" t="s">
        <v>102</v>
      </c>
      <c r="F39" s="25" t="s">
        <v>112</v>
      </c>
      <c r="G39" s="25" t="s">
        <v>113</v>
      </c>
      <c r="H39" s="25" t="s">
        <v>114</v>
      </c>
      <c r="I39" s="25" t="s">
        <v>51</v>
      </c>
      <c r="J39" s="30">
        <v>44567</v>
      </c>
      <c r="K39" s="25"/>
      <c r="L39" s="25"/>
      <c r="M39" s="25"/>
      <c r="N39" s="56" t="s">
        <v>41</v>
      </c>
      <c r="O39" s="58"/>
    </row>
    <row r="40" spans="1:15">
      <c r="A40" s="29">
        <v>20</v>
      </c>
      <c r="B40" s="25" t="s">
        <v>44</v>
      </c>
      <c r="C40" s="25" t="s">
        <v>119</v>
      </c>
      <c r="D40" s="25" t="s">
        <v>47</v>
      </c>
      <c r="E40" s="25" t="s">
        <v>102</v>
      </c>
      <c r="F40" s="25" t="s">
        <v>117</v>
      </c>
      <c r="G40" s="25" t="s">
        <v>124</v>
      </c>
      <c r="H40" s="25" t="s">
        <v>125</v>
      </c>
      <c r="I40" s="25" t="s">
        <v>51</v>
      </c>
      <c r="J40" s="30">
        <v>44567</v>
      </c>
      <c r="K40" s="25"/>
      <c r="L40" s="25"/>
      <c r="M40" s="25"/>
      <c r="N40" s="56" t="s">
        <v>41</v>
      </c>
      <c r="O40" s="58"/>
    </row>
    <row r="41" spans="1:15" ht="38">
      <c r="A41" s="29">
        <v>21</v>
      </c>
      <c r="B41" s="25" t="s">
        <v>44</v>
      </c>
      <c r="C41" s="25" t="s">
        <v>122</v>
      </c>
      <c r="D41" s="25" t="s">
        <v>47</v>
      </c>
      <c r="E41" s="25" t="s">
        <v>102</v>
      </c>
      <c r="F41" s="25" t="s">
        <v>120</v>
      </c>
      <c r="G41" s="31" t="s">
        <v>121</v>
      </c>
      <c r="H41" s="25" t="s">
        <v>126</v>
      </c>
      <c r="I41" s="25" t="s">
        <v>51</v>
      </c>
      <c r="J41" s="30">
        <v>44567</v>
      </c>
      <c r="K41" s="25"/>
      <c r="L41" s="25"/>
      <c r="M41" s="25"/>
      <c r="N41" s="56" t="s">
        <v>41</v>
      </c>
      <c r="O41" s="58"/>
    </row>
    <row r="42" spans="1:15">
      <c r="A42" s="29">
        <v>22</v>
      </c>
      <c r="B42" s="25" t="s">
        <v>44</v>
      </c>
      <c r="C42" s="25" t="s">
        <v>127</v>
      </c>
      <c r="D42" s="25" t="s">
        <v>47</v>
      </c>
      <c r="E42" s="25" t="s">
        <v>102</v>
      </c>
      <c r="F42" s="25" t="s">
        <v>123</v>
      </c>
      <c r="G42" s="25" t="s">
        <v>181</v>
      </c>
      <c r="H42" s="25"/>
      <c r="I42" s="25" t="s">
        <v>51</v>
      </c>
      <c r="J42" s="30">
        <v>44567</v>
      </c>
      <c r="K42" s="25"/>
      <c r="L42" s="25"/>
      <c r="M42" s="25"/>
      <c r="N42" s="56" t="s">
        <v>57</v>
      </c>
      <c r="O42" s="58"/>
    </row>
    <row r="43" spans="1:15" ht="38">
      <c r="A43" s="29">
        <v>23</v>
      </c>
      <c r="B43" s="25" t="s">
        <v>44</v>
      </c>
      <c r="C43" s="25" t="s">
        <v>129</v>
      </c>
      <c r="D43" s="25" t="s">
        <v>47</v>
      </c>
      <c r="E43" s="25" t="s">
        <v>102</v>
      </c>
      <c r="F43" s="25" t="s">
        <v>128</v>
      </c>
      <c r="G43" s="31" t="s">
        <v>281</v>
      </c>
      <c r="H43" s="25"/>
      <c r="I43" s="25" t="s">
        <v>51</v>
      </c>
      <c r="J43" s="30">
        <v>44567</v>
      </c>
      <c r="K43" s="25"/>
      <c r="L43" s="25"/>
      <c r="M43" s="25"/>
      <c r="N43" s="56" t="s">
        <v>57</v>
      </c>
      <c r="O43" s="58"/>
    </row>
    <row r="44" spans="1:15">
      <c r="A44" s="29">
        <v>24</v>
      </c>
      <c r="B44" s="25" t="s">
        <v>44</v>
      </c>
      <c r="C44" s="25" t="s">
        <v>132</v>
      </c>
      <c r="D44" s="25" t="s">
        <v>47</v>
      </c>
      <c r="E44" s="25" t="s">
        <v>102</v>
      </c>
      <c r="F44" s="25" t="s">
        <v>130</v>
      </c>
      <c r="G44" s="25" t="s">
        <v>131</v>
      </c>
      <c r="H44" s="25"/>
      <c r="I44" s="25" t="s">
        <v>51</v>
      </c>
      <c r="J44" s="30">
        <v>44567</v>
      </c>
      <c r="K44" s="25"/>
      <c r="L44" s="25"/>
      <c r="M44" s="25"/>
      <c r="N44" s="56" t="s">
        <v>57</v>
      </c>
      <c r="O44" s="58"/>
    </row>
    <row r="45" spans="1:15" ht="38">
      <c r="A45" s="29">
        <v>25</v>
      </c>
      <c r="B45" s="25" t="s">
        <v>13</v>
      </c>
      <c r="C45" s="25" t="s">
        <v>141</v>
      </c>
      <c r="D45" s="25" t="s">
        <v>17</v>
      </c>
      <c r="E45" s="25" t="s">
        <v>19</v>
      </c>
      <c r="F45" s="25" t="s">
        <v>133</v>
      </c>
      <c r="G45" s="31" t="s">
        <v>140</v>
      </c>
      <c r="H45" s="25" t="s">
        <v>137</v>
      </c>
      <c r="I45" s="25" t="s">
        <v>32</v>
      </c>
      <c r="J45" s="30">
        <v>44567</v>
      </c>
      <c r="K45" s="25"/>
      <c r="L45" s="25"/>
      <c r="M45" s="25"/>
      <c r="N45" s="56" t="s">
        <v>43</v>
      </c>
      <c r="O45" s="58"/>
    </row>
    <row r="46" spans="1:15">
      <c r="A46" s="29">
        <v>26</v>
      </c>
      <c r="B46" s="25" t="s">
        <v>44</v>
      </c>
      <c r="C46" s="25" t="s">
        <v>136</v>
      </c>
      <c r="D46" s="25" t="s">
        <v>47</v>
      </c>
      <c r="E46" s="25" t="s">
        <v>102</v>
      </c>
      <c r="F46" s="25" t="s">
        <v>134</v>
      </c>
      <c r="G46" s="25" t="s">
        <v>135</v>
      </c>
      <c r="H46" s="25"/>
      <c r="I46" s="25" t="s">
        <v>51</v>
      </c>
      <c r="J46" s="30">
        <v>44567</v>
      </c>
      <c r="K46" s="25"/>
      <c r="L46" s="25"/>
      <c r="M46" s="25"/>
      <c r="N46" s="56" t="s">
        <v>41</v>
      </c>
      <c r="O46" s="58"/>
    </row>
    <row r="47" spans="1:15" ht="57">
      <c r="A47" s="29">
        <v>27</v>
      </c>
      <c r="B47" s="25" t="s">
        <v>44</v>
      </c>
      <c r="C47" s="25" t="s">
        <v>139</v>
      </c>
      <c r="D47" s="25" t="s">
        <v>47</v>
      </c>
      <c r="E47" s="25" t="s">
        <v>102</v>
      </c>
      <c r="F47" s="25" t="s">
        <v>138</v>
      </c>
      <c r="G47" s="31" t="s">
        <v>168</v>
      </c>
      <c r="H47" s="31" t="s">
        <v>169</v>
      </c>
      <c r="I47" s="25" t="s">
        <v>51</v>
      </c>
      <c r="J47" s="30">
        <v>44567</v>
      </c>
      <c r="K47" s="25"/>
      <c r="L47" s="25"/>
      <c r="M47" s="25"/>
      <c r="N47" s="56" t="s">
        <v>41</v>
      </c>
      <c r="O47" s="58"/>
    </row>
    <row r="48" spans="1:15" ht="38">
      <c r="A48" s="29">
        <v>28</v>
      </c>
      <c r="B48" s="25" t="s">
        <v>13</v>
      </c>
      <c r="C48" s="25" t="s">
        <v>144</v>
      </c>
      <c r="D48" s="25" t="s">
        <v>47</v>
      </c>
      <c r="E48" s="25" t="s">
        <v>142</v>
      </c>
      <c r="F48" s="25" t="s">
        <v>143</v>
      </c>
      <c r="G48" s="25" t="s">
        <v>155</v>
      </c>
      <c r="H48" s="31" t="s">
        <v>147</v>
      </c>
      <c r="I48" s="25" t="s">
        <v>51</v>
      </c>
      <c r="J48" s="30">
        <v>44567</v>
      </c>
      <c r="K48" s="25"/>
      <c r="L48" s="25"/>
      <c r="M48" s="25"/>
      <c r="N48" s="56" t="s">
        <v>41</v>
      </c>
      <c r="O48" s="58"/>
    </row>
    <row r="49" spans="1:15" ht="38">
      <c r="A49" s="29">
        <v>29</v>
      </c>
      <c r="B49" s="25" t="s">
        <v>44</v>
      </c>
      <c r="C49" s="25" t="s">
        <v>149</v>
      </c>
      <c r="D49" s="25" t="s">
        <v>47</v>
      </c>
      <c r="E49" s="25" t="s">
        <v>142</v>
      </c>
      <c r="F49" s="25" t="s">
        <v>146</v>
      </c>
      <c r="G49" s="25" t="s">
        <v>148</v>
      </c>
      <c r="H49" s="31" t="s">
        <v>150</v>
      </c>
      <c r="I49" s="25" t="s">
        <v>51</v>
      </c>
      <c r="J49" s="30">
        <v>44567</v>
      </c>
      <c r="K49" s="25"/>
      <c r="L49" s="25"/>
      <c r="M49" s="25"/>
      <c r="N49" s="56" t="s">
        <v>41</v>
      </c>
      <c r="O49" s="58"/>
    </row>
    <row r="50" spans="1:15">
      <c r="A50" s="29">
        <v>30</v>
      </c>
      <c r="B50" s="25" t="s">
        <v>44</v>
      </c>
      <c r="C50" s="25" t="s">
        <v>153</v>
      </c>
      <c r="D50" s="25" t="s">
        <v>47</v>
      </c>
      <c r="E50" s="25" t="s">
        <v>142</v>
      </c>
      <c r="F50" s="25" t="s">
        <v>151</v>
      </c>
      <c r="G50" s="25" t="s">
        <v>152</v>
      </c>
      <c r="H50" s="25"/>
      <c r="I50" s="25" t="s">
        <v>51</v>
      </c>
      <c r="J50" s="30">
        <v>44567</v>
      </c>
      <c r="K50" s="25"/>
      <c r="L50" s="25"/>
      <c r="M50" s="25"/>
      <c r="N50" s="56" t="s">
        <v>57</v>
      </c>
      <c r="O50" s="58"/>
    </row>
    <row r="51" spans="1:15" ht="114">
      <c r="A51" s="29">
        <v>31</v>
      </c>
      <c r="B51" s="25" t="s">
        <v>44</v>
      </c>
      <c r="C51" s="25" t="s">
        <v>157</v>
      </c>
      <c r="D51" s="25" t="s">
        <v>47</v>
      </c>
      <c r="E51" s="25" t="s">
        <v>154</v>
      </c>
      <c r="F51" s="25" t="s">
        <v>156</v>
      </c>
      <c r="G51" s="25" t="s">
        <v>198</v>
      </c>
      <c r="H51" s="31" t="s">
        <v>199</v>
      </c>
      <c r="I51" s="25" t="s">
        <v>51</v>
      </c>
      <c r="J51" s="30">
        <v>44567</v>
      </c>
      <c r="K51" s="25"/>
      <c r="L51" s="25"/>
      <c r="M51" s="25"/>
      <c r="N51" s="56" t="s">
        <v>41</v>
      </c>
      <c r="O51" s="58"/>
    </row>
    <row r="52" spans="1:15">
      <c r="A52" s="29">
        <v>32</v>
      </c>
      <c r="B52" s="25" t="s">
        <v>44</v>
      </c>
      <c r="C52" s="25" t="s">
        <v>160</v>
      </c>
      <c r="D52" s="25" t="s">
        <v>47</v>
      </c>
      <c r="E52" s="25" t="s">
        <v>154</v>
      </c>
      <c r="F52" s="25" t="s">
        <v>158</v>
      </c>
      <c r="G52" s="25" t="s">
        <v>159</v>
      </c>
      <c r="H52" s="25" t="s">
        <v>201</v>
      </c>
      <c r="I52" s="25" t="s">
        <v>51</v>
      </c>
      <c r="J52" s="30">
        <v>44567</v>
      </c>
      <c r="K52" s="25"/>
      <c r="L52" s="25"/>
      <c r="M52" s="25"/>
      <c r="N52" s="56" t="s">
        <v>41</v>
      </c>
      <c r="O52" s="58"/>
    </row>
    <row r="53" spans="1:15">
      <c r="A53" s="29">
        <v>33</v>
      </c>
      <c r="B53" s="25" t="s">
        <v>44</v>
      </c>
      <c r="C53" s="25" t="s">
        <v>163</v>
      </c>
      <c r="D53" s="25" t="s">
        <v>47</v>
      </c>
      <c r="E53" s="25" t="s">
        <v>154</v>
      </c>
      <c r="F53" s="25" t="s">
        <v>161</v>
      </c>
      <c r="G53" s="25" t="s">
        <v>162</v>
      </c>
      <c r="H53" s="25" t="s">
        <v>200</v>
      </c>
      <c r="I53" s="25" t="s">
        <v>51</v>
      </c>
      <c r="J53" s="30">
        <v>44567</v>
      </c>
      <c r="K53" s="25"/>
      <c r="L53" s="25"/>
      <c r="M53" s="25"/>
      <c r="N53" s="56" t="s">
        <v>43</v>
      </c>
      <c r="O53" s="58"/>
    </row>
    <row r="54" spans="1:15">
      <c r="A54" s="29">
        <v>34</v>
      </c>
      <c r="B54" s="25" t="s">
        <v>44</v>
      </c>
      <c r="C54" s="25" t="s">
        <v>167</v>
      </c>
      <c r="D54" s="25" t="s">
        <v>47</v>
      </c>
      <c r="E54" s="25" t="s">
        <v>154</v>
      </c>
      <c r="F54" s="25" t="s">
        <v>164</v>
      </c>
      <c r="G54" s="25" t="s">
        <v>165</v>
      </c>
      <c r="H54" s="25" t="s">
        <v>166</v>
      </c>
      <c r="I54" s="25" t="s">
        <v>51</v>
      </c>
      <c r="J54" s="30">
        <v>44567</v>
      </c>
      <c r="K54" s="25"/>
      <c r="L54" s="25"/>
      <c r="M54" s="25"/>
      <c r="N54" s="56" t="s">
        <v>41</v>
      </c>
      <c r="O54" s="58"/>
    </row>
    <row r="55" spans="1:15">
      <c r="A55" s="29">
        <v>35</v>
      </c>
      <c r="B55" s="25" t="s">
        <v>44</v>
      </c>
      <c r="C55" s="25" t="s">
        <v>172</v>
      </c>
      <c r="D55" s="25" t="s">
        <v>47</v>
      </c>
      <c r="E55" s="25" t="s">
        <v>102</v>
      </c>
      <c r="F55" s="25" t="s">
        <v>170</v>
      </c>
      <c r="G55" s="25" t="s">
        <v>171</v>
      </c>
      <c r="H55" s="25"/>
      <c r="I55" s="25" t="s">
        <v>51</v>
      </c>
      <c r="J55" s="30">
        <v>44567</v>
      </c>
      <c r="K55" s="25"/>
      <c r="L55" s="25"/>
      <c r="M55" s="25"/>
      <c r="N55" s="56" t="s">
        <v>41</v>
      </c>
      <c r="O55" s="58"/>
    </row>
    <row r="56" spans="1:15">
      <c r="A56" s="29">
        <v>36</v>
      </c>
      <c r="B56" s="25" t="s">
        <v>44</v>
      </c>
      <c r="C56" s="25" t="s">
        <v>177</v>
      </c>
      <c r="D56" s="25" t="s">
        <v>47</v>
      </c>
      <c r="E56" s="25" t="s">
        <v>102</v>
      </c>
      <c r="F56" s="25" t="s">
        <v>173</v>
      </c>
      <c r="G56" s="25" t="s">
        <v>175</v>
      </c>
      <c r="H56" s="25" t="s">
        <v>176</v>
      </c>
      <c r="I56" s="25" t="s">
        <v>51</v>
      </c>
      <c r="J56" s="30">
        <v>44567</v>
      </c>
      <c r="K56" s="25"/>
      <c r="L56" s="25"/>
      <c r="M56" s="25"/>
      <c r="N56" s="56" t="s">
        <v>41</v>
      </c>
      <c r="O56" s="58"/>
    </row>
    <row r="57" spans="1:15">
      <c r="A57" s="29">
        <v>37</v>
      </c>
      <c r="B57" s="25" t="s">
        <v>44</v>
      </c>
      <c r="C57" s="25" t="s">
        <v>180</v>
      </c>
      <c r="D57" s="25" t="s">
        <v>47</v>
      </c>
      <c r="E57" s="25" t="s">
        <v>102</v>
      </c>
      <c r="F57" s="25" t="s">
        <v>178</v>
      </c>
      <c r="G57" s="25" t="s">
        <v>179</v>
      </c>
      <c r="H57" s="25"/>
      <c r="I57" s="25" t="s">
        <v>51</v>
      </c>
      <c r="J57" s="30">
        <v>44567</v>
      </c>
      <c r="K57" s="25"/>
      <c r="L57" s="25"/>
      <c r="M57" s="25"/>
      <c r="N57" s="56" t="s">
        <v>41</v>
      </c>
      <c r="O57" s="58"/>
    </row>
    <row r="58" spans="1:15">
      <c r="A58" s="29">
        <v>38</v>
      </c>
      <c r="B58" s="25" t="s">
        <v>44</v>
      </c>
      <c r="C58" s="25" t="s">
        <v>182</v>
      </c>
      <c r="D58" s="25" t="s">
        <v>47</v>
      </c>
      <c r="E58" s="25" t="s">
        <v>102</v>
      </c>
      <c r="F58" s="25" t="s">
        <v>291</v>
      </c>
      <c r="G58" s="25" t="s">
        <v>174</v>
      </c>
      <c r="H58" s="25" t="s">
        <v>176</v>
      </c>
      <c r="I58" s="25" t="s">
        <v>51</v>
      </c>
      <c r="J58" s="30">
        <v>44567</v>
      </c>
      <c r="K58" s="25"/>
      <c r="L58" s="25"/>
      <c r="M58" s="25"/>
      <c r="N58" s="56" t="s">
        <v>41</v>
      </c>
      <c r="O58" s="58"/>
    </row>
    <row r="59" spans="1:15">
      <c r="A59" s="29">
        <v>39</v>
      </c>
      <c r="B59" s="25" t="s">
        <v>44</v>
      </c>
      <c r="C59" s="25" t="s">
        <v>184</v>
      </c>
      <c r="D59" s="25" t="s">
        <v>47</v>
      </c>
      <c r="E59" s="25" t="s">
        <v>102</v>
      </c>
      <c r="F59" s="25" t="s">
        <v>183</v>
      </c>
      <c r="G59" s="25" t="s">
        <v>301</v>
      </c>
      <c r="H59" s="25"/>
      <c r="I59" s="25" t="s">
        <v>51</v>
      </c>
      <c r="J59" s="30">
        <v>44567</v>
      </c>
      <c r="K59" s="25"/>
      <c r="L59" s="25"/>
      <c r="M59" s="25"/>
      <c r="N59" s="56" t="s">
        <v>41</v>
      </c>
      <c r="O59" s="58"/>
    </row>
    <row r="60" spans="1:15" ht="38">
      <c r="A60" s="29">
        <v>40</v>
      </c>
      <c r="B60" s="25" t="s">
        <v>44</v>
      </c>
      <c r="C60" s="25" t="s">
        <v>187</v>
      </c>
      <c r="D60" s="25" t="s">
        <v>47</v>
      </c>
      <c r="E60" s="25" t="s">
        <v>102</v>
      </c>
      <c r="F60" s="25" t="s">
        <v>185</v>
      </c>
      <c r="G60" s="31" t="s">
        <v>186</v>
      </c>
      <c r="H60" s="25"/>
      <c r="I60" s="25" t="s">
        <v>51</v>
      </c>
      <c r="J60" s="30">
        <v>44567</v>
      </c>
      <c r="K60" s="25"/>
      <c r="L60" s="25"/>
      <c r="M60" s="25"/>
      <c r="N60" s="56" t="s">
        <v>41</v>
      </c>
      <c r="O60" s="58"/>
    </row>
    <row r="61" spans="1:15">
      <c r="A61" s="29">
        <v>41</v>
      </c>
      <c r="B61" s="25" t="s">
        <v>188</v>
      </c>
      <c r="C61" s="25" t="s">
        <v>205</v>
      </c>
      <c r="D61" s="25" t="s">
        <v>47</v>
      </c>
      <c r="E61" s="25" t="s">
        <v>16</v>
      </c>
      <c r="F61" s="25" t="s">
        <v>202</v>
      </c>
      <c r="G61" s="25" t="s">
        <v>203</v>
      </c>
      <c r="H61" s="25" t="s">
        <v>204</v>
      </c>
      <c r="I61" s="25" t="s">
        <v>51</v>
      </c>
      <c r="J61" s="30">
        <v>44571</v>
      </c>
      <c r="K61" s="25"/>
      <c r="L61" s="25"/>
      <c r="M61" s="25"/>
      <c r="N61" s="56" t="s">
        <v>41</v>
      </c>
      <c r="O61" s="58"/>
    </row>
    <row r="62" spans="1:15">
      <c r="A62" s="29">
        <v>42</v>
      </c>
      <c r="B62" s="25" t="s">
        <v>188</v>
      </c>
      <c r="C62" s="25" t="s">
        <v>208</v>
      </c>
      <c r="D62" s="25" t="s">
        <v>47</v>
      </c>
      <c r="E62" s="25" t="s">
        <v>16</v>
      </c>
      <c r="F62" s="25" t="s">
        <v>206</v>
      </c>
      <c r="G62" s="25" t="s">
        <v>269</v>
      </c>
      <c r="H62" s="25"/>
      <c r="I62" s="25" t="s">
        <v>51</v>
      </c>
      <c r="J62" s="30">
        <v>44571</v>
      </c>
      <c r="K62" s="25"/>
      <c r="L62" s="25"/>
      <c r="M62" s="25"/>
      <c r="N62" s="56" t="s">
        <v>57</v>
      </c>
      <c r="O62" s="58"/>
    </row>
    <row r="63" spans="1:15">
      <c r="A63" s="29">
        <v>43</v>
      </c>
      <c r="B63" s="25" t="s">
        <v>209</v>
      </c>
      <c r="C63" s="25" t="s">
        <v>213</v>
      </c>
      <c r="D63" s="25" t="s">
        <v>47</v>
      </c>
      <c r="E63" s="25" t="s">
        <v>78</v>
      </c>
      <c r="F63" s="25" t="s">
        <v>210</v>
      </c>
      <c r="G63" s="25" t="s">
        <v>211</v>
      </c>
      <c r="H63" s="25" t="s">
        <v>212</v>
      </c>
      <c r="I63" s="25" t="s">
        <v>51</v>
      </c>
      <c r="J63" s="30">
        <v>44571</v>
      </c>
      <c r="K63" s="25"/>
      <c r="L63" s="25"/>
      <c r="M63" s="25"/>
      <c r="N63" s="56" t="s">
        <v>43</v>
      </c>
      <c r="O63" s="58"/>
    </row>
    <row r="64" spans="1:15">
      <c r="A64" s="29">
        <v>44</v>
      </c>
      <c r="B64" s="25" t="s">
        <v>26</v>
      </c>
      <c r="C64" s="25" t="s">
        <v>230</v>
      </c>
      <c r="D64" s="25" t="s">
        <v>17</v>
      </c>
      <c r="E64" s="25" t="s">
        <v>16</v>
      </c>
      <c r="F64" s="25" t="s">
        <v>231</v>
      </c>
      <c r="G64" s="25" t="s">
        <v>232</v>
      </c>
      <c r="H64" s="25"/>
      <c r="I64" s="25" t="s">
        <v>32</v>
      </c>
      <c r="J64" s="30">
        <v>44573</v>
      </c>
      <c r="K64" s="25"/>
      <c r="L64" s="25"/>
      <c r="M64" s="25" t="s">
        <v>335</v>
      </c>
      <c r="N64" s="56" t="s">
        <v>43</v>
      </c>
      <c r="O64" s="58"/>
    </row>
    <row r="65" spans="1:15">
      <c r="A65" s="29">
        <v>45</v>
      </c>
      <c r="B65" s="25" t="s">
        <v>195</v>
      </c>
      <c r="C65" s="25" t="s">
        <v>218</v>
      </c>
      <c r="D65" s="25" t="s">
        <v>47</v>
      </c>
      <c r="E65" s="25" t="s">
        <v>78</v>
      </c>
      <c r="F65" s="25" t="s">
        <v>217</v>
      </c>
      <c r="G65" s="25" t="s">
        <v>219</v>
      </c>
      <c r="H65" s="25"/>
      <c r="I65" s="25" t="s">
        <v>51</v>
      </c>
      <c r="J65" s="30">
        <v>44571</v>
      </c>
      <c r="K65" s="25"/>
      <c r="L65" s="25"/>
      <c r="M65" s="25"/>
      <c r="N65" s="56" t="s">
        <v>41</v>
      </c>
      <c r="O65" s="76"/>
    </row>
    <row r="66" spans="1:15" ht="57">
      <c r="A66" s="29">
        <v>46</v>
      </c>
      <c r="B66" s="25" t="s">
        <v>44</v>
      </c>
      <c r="C66" s="25" t="s">
        <v>245</v>
      </c>
      <c r="D66" s="25" t="s">
        <v>47</v>
      </c>
      <c r="E66" s="25" t="s">
        <v>88</v>
      </c>
      <c r="F66" s="25" t="s">
        <v>280</v>
      </c>
      <c r="G66" s="31" t="s">
        <v>283</v>
      </c>
      <c r="H66" s="25"/>
      <c r="I66" s="25" t="s">
        <v>51</v>
      </c>
      <c r="J66" s="30">
        <v>44573</v>
      </c>
      <c r="K66" s="25"/>
      <c r="L66" s="25"/>
      <c r="M66" s="25"/>
      <c r="N66" s="25" t="s">
        <v>41</v>
      </c>
      <c r="O66" s="78"/>
    </row>
    <row r="67" spans="1:15" ht="57">
      <c r="A67" s="29">
        <v>47</v>
      </c>
      <c r="B67" s="25" t="s">
        <v>13</v>
      </c>
      <c r="C67" s="25" t="s">
        <v>313</v>
      </c>
      <c r="D67" s="25" t="s">
        <v>47</v>
      </c>
      <c r="E67" s="25" t="s">
        <v>88</v>
      </c>
      <c r="F67" s="25" t="s">
        <v>302</v>
      </c>
      <c r="G67" s="25" t="s">
        <v>304</v>
      </c>
      <c r="H67" s="31" t="s">
        <v>293</v>
      </c>
      <c r="I67" s="25" t="s">
        <v>51</v>
      </c>
      <c r="J67" s="30">
        <v>44573</v>
      </c>
      <c r="K67" s="25"/>
      <c r="L67" s="25"/>
      <c r="M67" s="25"/>
      <c r="N67" s="25" t="s">
        <v>41</v>
      </c>
      <c r="O67" s="78"/>
    </row>
    <row r="68" spans="1:15">
      <c r="A68" s="29">
        <v>48</v>
      </c>
      <c r="B68" s="25" t="s">
        <v>44</v>
      </c>
      <c r="C68" s="25" t="s">
        <v>290</v>
      </c>
      <c r="D68" s="25" t="s">
        <v>47</v>
      </c>
      <c r="E68" s="25" t="s">
        <v>142</v>
      </c>
      <c r="F68" s="25" t="s">
        <v>285</v>
      </c>
      <c r="G68" s="25" t="s">
        <v>286</v>
      </c>
      <c r="H68" s="25"/>
      <c r="I68" s="25" t="s">
        <v>51</v>
      </c>
      <c r="J68" s="30">
        <v>44573</v>
      </c>
      <c r="K68" s="25"/>
      <c r="L68" s="25"/>
      <c r="M68" s="25"/>
      <c r="N68" s="25" t="s">
        <v>41</v>
      </c>
      <c r="O68" s="78"/>
    </row>
    <row r="69" spans="1:15">
      <c r="A69" s="29">
        <v>49</v>
      </c>
      <c r="B69" s="25" t="s">
        <v>44</v>
      </c>
      <c r="C69" s="25" t="s">
        <v>294</v>
      </c>
      <c r="D69" s="25" t="s">
        <v>47</v>
      </c>
      <c r="E69" s="25" t="s">
        <v>142</v>
      </c>
      <c r="F69" s="25" t="s">
        <v>288</v>
      </c>
      <c r="G69" s="25" t="s">
        <v>289</v>
      </c>
      <c r="H69" s="25"/>
      <c r="I69" s="25" t="s">
        <v>51</v>
      </c>
      <c r="J69" s="30">
        <v>44573</v>
      </c>
      <c r="K69" s="25"/>
      <c r="L69" s="25"/>
      <c r="M69" s="25"/>
      <c r="N69" s="25" t="s">
        <v>41</v>
      </c>
      <c r="O69" s="78"/>
    </row>
    <row r="70" spans="1:15" ht="38">
      <c r="A70" s="29">
        <v>50</v>
      </c>
      <c r="B70" s="25" t="s">
        <v>209</v>
      </c>
      <c r="C70" s="25" t="s">
        <v>246</v>
      </c>
      <c r="D70" s="25" t="s">
        <v>243</v>
      </c>
      <c r="E70" s="25" t="s">
        <v>48</v>
      </c>
      <c r="F70" s="25" t="s">
        <v>244</v>
      </c>
      <c r="G70" s="25" t="s">
        <v>247</v>
      </c>
      <c r="H70" s="31" t="s">
        <v>248</v>
      </c>
      <c r="I70" s="25" t="s">
        <v>51</v>
      </c>
      <c r="J70" s="30">
        <v>44573</v>
      </c>
      <c r="K70" s="25"/>
      <c r="L70" s="25"/>
      <c r="M70" s="25"/>
      <c r="N70" s="25" t="s">
        <v>41</v>
      </c>
      <c r="O70" s="78"/>
    </row>
    <row r="71" spans="1:15" ht="38">
      <c r="A71" s="29">
        <v>51</v>
      </c>
      <c r="B71" s="25" t="s">
        <v>26</v>
      </c>
      <c r="C71" s="25" t="s">
        <v>257</v>
      </c>
      <c r="D71" s="25" t="s">
        <v>15</v>
      </c>
      <c r="E71" s="25" t="s">
        <v>34</v>
      </c>
      <c r="F71" s="25" t="s">
        <v>251</v>
      </c>
      <c r="G71" s="31" t="s">
        <v>258</v>
      </c>
      <c r="H71" s="31" t="s">
        <v>249</v>
      </c>
      <c r="I71" s="25" t="s">
        <v>32</v>
      </c>
      <c r="J71" s="30">
        <v>44573</v>
      </c>
      <c r="K71" s="25"/>
      <c r="L71" s="25"/>
      <c r="M71" s="25"/>
      <c r="N71" s="25" t="s">
        <v>43</v>
      </c>
      <c r="O71" s="78"/>
    </row>
    <row r="72" spans="1:15" ht="38">
      <c r="A72" s="29">
        <v>52</v>
      </c>
      <c r="B72" s="25" t="s">
        <v>209</v>
      </c>
      <c r="C72" s="25" t="s">
        <v>260</v>
      </c>
      <c r="D72" s="25" t="s">
        <v>243</v>
      </c>
      <c r="E72" s="25" t="s">
        <v>48</v>
      </c>
      <c r="F72" s="25" t="s">
        <v>250</v>
      </c>
      <c r="G72" s="31" t="s">
        <v>252</v>
      </c>
      <c r="H72" s="31" t="s">
        <v>253</v>
      </c>
      <c r="I72" s="25" t="s">
        <v>51</v>
      </c>
      <c r="J72" s="30">
        <v>44573</v>
      </c>
      <c r="K72" s="25"/>
      <c r="L72" s="25"/>
      <c r="M72" s="25"/>
      <c r="N72" s="25" t="s">
        <v>41</v>
      </c>
      <c r="O72" s="78"/>
    </row>
    <row r="73" spans="1:15" ht="38">
      <c r="A73" s="29">
        <v>53</v>
      </c>
      <c r="B73" s="25" t="s">
        <v>209</v>
      </c>
      <c r="C73" s="25" t="s">
        <v>265</v>
      </c>
      <c r="D73" s="25" t="s">
        <v>243</v>
      </c>
      <c r="E73" s="25" t="s">
        <v>35</v>
      </c>
      <c r="F73" s="25" t="s">
        <v>254</v>
      </c>
      <c r="G73" s="25" t="s">
        <v>255</v>
      </c>
      <c r="H73" s="31" t="s">
        <v>256</v>
      </c>
      <c r="I73" s="25" t="s">
        <v>51</v>
      </c>
      <c r="J73" s="30">
        <v>44573</v>
      </c>
      <c r="K73" s="25"/>
      <c r="L73" s="25"/>
      <c r="M73" s="25"/>
      <c r="N73" s="25" t="s">
        <v>41</v>
      </c>
      <c r="O73" s="78"/>
    </row>
    <row r="74" spans="1:15" ht="57">
      <c r="A74" s="29">
        <v>54</v>
      </c>
      <c r="B74" s="25" t="s">
        <v>209</v>
      </c>
      <c r="C74" s="25" t="s">
        <v>268</v>
      </c>
      <c r="D74" s="25" t="s">
        <v>243</v>
      </c>
      <c r="E74" s="25" t="s">
        <v>49</v>
      </c>
      <c r="F74" s="25" t="s">
        <v>262</v>
      </c>
      <c r="G74" s="25" t="s">
        <v>263</v>
      </c>
      <c r="H74" s="31" t="s">
        <v>264</v>
      </c>
      <c r="I74" s="25" t="s">
        <v>51</v>
      </c>
      <c r="J74" s="30">
        <v>44573</v>
      </c>
      <c r="K74" s="25"/>
      <c r="L74" s="25"/>
      <c r="M74" s="25"/>
      <c r="N74" s="25" t="s">
        <v>41</v>
      </c>
      <c r="O74" s="78"/>
    </row>
    <row r="75" spans="1:15" ht="57">
      <c r="A75" s="29">
        <v>55</v>
      </c>
      <c r="B75" s="25" t="s">
        <v>209</v>
      </c>
      <c r="C75" s="25" t="s">
        <v>271</v>
      </c>
      <c r="D75" s="25" t="s">
        <v>243</v>
      </c>
      <c r="E75" s="25" t="s">
        <v>88</v>
      </c>
      <c r="F75" s="25" t="s">
        <v>259</v>
      </c>
      <c r="G75" s="25" t="s">
        <v>261</v>
      </c>
      <c r="H75" s="31" t="s">
        <v>298</v>
      </c>
      <c r="I75" s="25" t="s">
        <v>51</v>
      </c>
      <c r="J75" s="30">
        <v>44573</v>
      </c>
      <c r="K75" s="25"/>
      <c r="L75" s="25"/>
      <c r="M75" s="25"/>
      <c r="N75" s="25" t="s">
        <v>41</v>
      </c>
      <c r="O75" s="78"/>
    </row>
    <row r="76" spans="1:15" ht="76">
      <c r="A76" s="29">
        <v>56</v>
      </c>
      <c r="B76" s="25" t="s">
        <v>209</v>
      </c>
      <c r="C76" s="25" t="s">
        <v>277</v>
      </c>
      <c r="D76" s="25" t="s">
        <v>243</v>
      </c>
      <c r="E76" s="25" t="s">
        <v>88</v>
      </c>
      <c r="F76" s="25" t="s">
        <v>266</v>
      </c>
      <c r="G76" s="25" t="s">
        <v>267</v>
      </c>
      <c r="H76" s="31" t="s">
        <v>296</v>
      </c>
      <c r="I76" s="25" t="s">
        <v>51</v>
      </c>
      <c r="J76" s="30">
        <v>44573</v>
      </c>
      <c r="K76" s="25"/>
      <c r="L76" s="25"/>
      <c r="M76" s="25"/>
      <c r="N76" s="25" t="s">
        <v>41</v>
      </c>
      <c r="O76" s="78"/>
    </row>
    <row r="77" spans="1:15" ht="38">
      <c r="A77" s="29">
        <v>57</v>
      </c>
      <c r="B77" s="25" t="s">
        <v>209</v>
      </c>
      <c r="C77" s="25" t="s">
        <v>284</v>
      </c>
      <c r="D77" s="25" t="s">
        <v>243</v>
      </c>
      <c r="E77" s="25" t="s">
        <v>88</v>
      </c>
      <c r="F77" s="25" t="s">
        <v>272</v>
      </c>
      <c r="G77" s="25" t="s">
        <v>270</v>
      </c>
      <c r="H77" s="31" t="s">
        <v>276</v>
      </c>
      <c r="I77" s="25" t="s">
        <v>51</v>
      </c>
      <c r="J77" s="30">
        <v>44573</v>
      </c>
      <c r="K77" s="25"/>
      <c r="L77" s="25"/>
      <c r="M77" s="25"/>
      <c r="N77" s="25" t="s">
        <v>41</v>
      </c>
      <c r="O77" s="78"/>
    </row>
    <row r="78" spans="1:15" ht="38">
      <c r="A78" s="29">
        <v>58</v>
      </c>
      <c r="B78" s="25" t="s">
        <v>209</v>
      </c>
      <c r="C78" s="25" t="s">
        <v>287</v>
      </c>
      <c r="D78" s="25" t="s">
        <v>243</v>
      </c>
      <c r="E78" s="25" t="s">
        <v>88</v>
      </c>
      <c r="F78" s="25" t="s">
        <v>273</v>
      </c>
      <c r="G78" s="25" t="s">
        <v>274</v>
      </c>
      <c r="H78" s="31" t="s">
        <v>275</v>
      </c>
      <c r="I78" s="25" t="s">
        <v>51</v>
      </c>
      <c r="J78" s="30">
        <v>44573</v>
      </c>
      <c r="K78" s="25"/>
      <c r="L78" s="25"/>
      <c r="M78" s="25"/>
      <c r="N78" s="25" t="s">
        <v>41</v>
      </c>
      <c r="O78" s="78"/>
    </row>
    <row r="79" spans="1:15" ht="76">
      <c r="A79" s="29">
        <v>59</v>
      </c>
      <c r="B79" s="25" t="s">
        <v>209</v>
      </c>
      <c r="C79" s="25" t="s">
        <v>305</v>
      </c>
      <c r="D79" s="25" t="s">
        <v>243</v>
      </c>
      <c r="E79" s="25" t="s">
        <v>88</v>
      </c>
      <c r="F79" s="25" t="s">
        <v>292</v>
      </c>
      <c r="G79" s="31" t="s">
        <v>310</v>
      </c>
      <c r="H79" s="31" t="s">
        <v>300</v>
      </c>
      <c r="I79" s="25" t="s">
        <v>51</v>
      </c>
      <c r="J79" s="30">
        <v>44573</v>
      </c>
      <c r="K79" s="25"/>
      <c r="L79" s="25"/>
      <c r="M79" s="25"/>
      <c r="N79" s="25" t="s">
        <v>41</v>
      </c>
      <c r="O79" s="78"/>
    </row>
    <row r="80" spans="1:15" ht="76">
      <c r="A80" s="29">
        <v>60</v>
      </c>
      <c r="B80" s="25" t="s">
        <v>26</v>
      </c>
      <c r="C80" s="25" t="s">
        <v>312</v>
      </c>
      <c r="D80" s="25" t="s">
        <v>15</v>
      </c>
      <c r="E80" s="25" t="s">
        <v>18</v>
      </c>
      <c r="F80" s="31" t="s">
        <v>307</v>
      </c>
      <c r="G80" s="25" t="s">
        <v>311</v>
      </c>
      <c r="H80" s="31" t="s">
        <v>308</v>
      </c>
      <c r="I80" s="25" t="s">
        <v>51</v>
      </c>
      <c r="J80" s="30">
        <v>44573</v>
      </c>
      <c r="K80" s="25"/>
      <c r="L80" s="25"/>
      <c r="M80" s="25"/>
      <c r="N80" s="25" t="s">
        <v>41</v>
      </c>
      <c r="O80" s="78"/>
    </row>
    <row r="81" spans="1:15" ht="38">
      <c r="A81" s="32">
        <v>61</v>
      </c>
      <c r="B81" s="24" t="s">
        <v>26</v>
      </c>
      <c r="C81" s="24" t="s">
        <v>320</v>
      </c>
      <c r="D81" s="24" t="s">
        <v>243</v>
      </c>
      <c r="E81" s="24" t="s">
        <v>142</v>
      </c>
      <c r="F81" s="24" t="s">
        <v>318</v>
      </c>
      <c r="G81" s="79" t="s">
        <v>315</v>
      </c>
      <c r="H81" s="79" t="s">
        <v>316</v>
      </c>
      <c r="I81" s="24" t="s">
        <v>51</v>
      </c>
      <c r="J81" s="33">
        <v>44573</v>
      </c>
      <c r="K81" s="24"/>
      <c r="L81" s="24"/>
      <c r="M81" s="24"/>
      <c r="N81" s="24" t="s">
        <v>41</v>
      </c>
      <c r="O81" s="77"/>
    </row>
    <row r="83" spans="1:15">
      <c r="F83" s="35"/>
    </row>
  </sheetData>
  <sheetProtection selectLockedCells="1" autoFilter="0"/>
  <autoFilter ref="A20:N65" xr:uid="{9887B958-0BEA-034B-9F01-651E91C8EE09}"/>
  <mergeCells count="8">
    <mergeCell ref="I19:J19"/>
    <mergeCell ref="K19:M19"/>
    <mergeCell ref="A1:N3"/>
    <mergeCell ref="A14:D15"/>
    <mergeCell ref="A6:D7"/>
    <mergeCell ref="A11:D12"/>
    <mergeCell ref="A19:F19"/>
    <mergeCell ref="G19:H19"/>
  </mergeCells>
  <phoneticPr fontId="2" type="noConversion"/>
  <dataValidations count="1">
    <dataValidation type="list" allowBlank="1" showInputMessage="1" showErrorMessage="1" errorTitle="잘못된 형식입니다." error="해당 목록 내에서 선택해주세요" sqref="N9 N17" xr:uid="{56560051-F589-DC4B-A6BC-1578A7C70AC4}">
      <formula1>"상, 중, 하"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InsertReq">
                <anchor moveWithCells="1" sizeWithCells="1">
                  <from>
                    <xdr:col>4</xdr:col>
                    <xdr:colOff>203200</xdr:colOff>
                    <xdr:row>5</xdr:row>
                    <xdr:rowOff>38100</xdr:rowOff>
                  </from>
                  <to>
                    <xdr:col>5</xdr:col>
                    <xdr:colOff>774700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RemoveReq">
                <anchor moveWithCells="1" sizeWithCells="1">
                  <from>
                    <xdr:col>5</xdr:col>
                    <xdr:colOff>165100</xdr:colOff>
                    <xdr:row>10</xdr:row>
                    <xdr:rowOff>38100</xdr:rowOff>
                  </from>
                  <to>
                    <xdr:col>5</xdr:col>
                    <xdr:colOff>1689100</xdr:colOff>
                    <xdr:row>11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FixReq">
                <anchor moveWithCells="1" sizeWithCells="1">
                  <from>
                    <xdr:col>6</xdr:col>
                    <xdr:colOff>101600</xdr:colOff>
                    <xdr:row>13</xdr:row>
                    <xdr:rowOff>38100</xdr:rowOff>
                  </from>
                  <to>
                    <xdr:col>6</xdr:col>
                    <xdr:colOff>1625600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LoadReq">
                <anchor moveWithCells="1" sizeWithCells="1">
                  <from>
                    <xdr:col>5</xdr:col>
                    <xdr:colOff>165100</xdr:colOff>
                    <xdr:row>13</xdr:row>
                    <xdr:rowOff>38100</xdr:rowOff>
                  </from>
                  <to>
                    <xdr:col>5</xdr:col>
                    <xdr:colOff>1689100</xdr:colOff>
                    <xdr:row>14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잘못된 형식입니다." error="해당 목록 내에서 선택해주세요" xr:uid="{E944129C-CCA9-4E4E-BDD0-092FAD0A90E7}">
          <x14:formula1>
            <xm:f>DB!$B$3:$B$5</xm:f>
          </x14:formula1>
          <xm:sqref>D17 D9</xm:sqref>
        </x14:dataValidation>
        <x14:dataValidation type="list" allowBlank="1" showInputMessage="1" showErrorMessage="1" errorTitle="잘못된 형식입니다." error="해당 목록 내에서 선택해주세요" xr:uid="{9A6CF968-4101-CD45-AC63-6E4900072E50}">
          <x14:formula1>
            <xm:f>DB!$C$3:$C$11</xm:f>
          </x14:formula1>
          <xm:sqref>E17 E9</xm:sqref>
        </x14:dataValidation>
        <x14:dataValidation type="list" allowBlank="1" showInputMessage="1" showErrorMessage="1" errorTitle="잘못된 형식입니다." error="해당 목록 내에서 선택해주세요" xr:uid="{F5B3293D-6E11-0047-AC38-6E63AD2503CA}">
          <x14:formula1>
            <xm:f>DB!$A$3:$A$9</xm:f>
          </x14:formula1>
          <xm:sqref>B17 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51D94C-AD23-8345-A757-E3E7437321F8}">
  <sheetPr codeName="Sheet2"/>
  <dimension ref="A1:I20"/>
  <sheetViews>
    <sheetView workbookViewId="0">
      <selection activeCell="E23" sqref="E23"/>
    </sheetView>
  </sheetViews>
  <sheetFormatPr baseColWidth="10" defaultRowHeight="18"/>
  <cols>
    <col min="7" max="7" width="11.140625" style="66" bestFit="1" customWidth="1"/>
    <col min="8" max="9" width="10.7109375" style="65"/>
  </cols>
  <sheetData>
    <row r="1" spans="1:9">
      <c r="A1" s="101" t="s">
        <v>21</v>
      </c>
      <c r="B1" s="101"/>
      <c r="C1" s="101"/>
      <c r="D1" s="102" t="s">
        <v>5</v>
      </c>
      <c r="E1" s="103"/>
      <c r="F1" s="104"/>
      <c r="G1" s="105" t="s">
        <v>233</v>
      </c>
      <c r="H1" s="106"/>
      <c r="I1" s="107"/>
    </row>
    <row r="2" spans="1:9">
      <c r="A2" s="10" t="s">
        <v>2</v>
      </c>
      <c r="B2" s="11" t="s">
        <v>1</v>
      </c>
      <c r="C2" s="12" t="s">
        <v>4</v>
      </c>
      <c r="D2" s="59" t="s">
        <v>228</v>
      </c>
      <c r="E2" s="59" t="s">
        <v>229</v>
      </c>
      <c r="F2" s="62" t="s">
        <v>235</v>
      </c>
      <c r="G2" s="64" t="s">
        <v>236</v>
      </c>
      <c r="H2" s="61" t="s">
        <v>234</v>
      </c>
      <c r="I2" s="61" t="s">
        <v>237</v>
      </c>
    </row>
    <row r="3" spans="1:9">
      <c r="A3" s="1" t="s">
        <v>13</v>
      </c>
      <c r="B3" s="2" t="s">
        <v>17</v>
      </c>
      <c r="C3" s="3" t="s">
        <v>16</v>
      </c>
      <c r="D3" s="60">
        <f>COUNT(reqNum)</f>
        <v>61</v>
      </c>
      <c r="E3" s="60">
        <v>62</v>
      </c>
      <c r="F3" s="63">
        <f>COUNTA(reqCompleteNum)</f>
        <v>0</v>
      </c>
      <c r="G3" s="66">
        <v>44572</v>
      </c>
      <c r="H3" s="65">
        <v>0</v>
      </c>
      <c r="I3" s="67">
        <f>reqCount-H3</f>
        <v>61</v>
      </c>
    </row>
    <row r="4" spans="1:9">
      <c r="A4" s="4" t="s">
        <v>25</v>
      </c>
      <c r="B4" s="5" t="s">
        <v>14</v>
      </c>
      <c r="C4" s="6" t="s">
        <v>37</v>
      </c>
      <c r="I4" s="67"/>
    </row>
    <row r="5" spans="1:9">
      <c r="A5" s="4" t="s">
        <v>26</v>
      </c>
      <c r="B5" s="8" t="s">
        <v>15</v>
      </c>
      <c r="C5" s="6" t="s">
        <v>18</v>
      </c>
      <c r="I5" s="67"/>
    </row>
    <row r="6" spans="1:9">
      <c r="A6" s="4" t="s">
        <v>27</v>
      </c>
      <c r="C6" s="6" t="s">
        <v>19</v>
      </c>
      <c r="I6" s="67"/>
    </row>
    <row r="7" spans="1:9">
      <c r="A7" s="4" t="s">
        <v>196</v>
      </c>
      <c r="C7" s="6" t="s">
        <v>36</v>
      </c>
      <c r="I7" s="67"/>
    </row>
    <row r="8" spans="1:9">
      <c r="A8" s="4" t="s">
        <v>197</v>
      </c>
      <c r="C8" s="6" t="s">
        <v>20</v>
      </c>
      <c r="I8" s="67"/>
    </row>
    <row r="9" spans="1:9">
      <c r="A9" s="7" t="s">
        <v>28</v>
      </c>
      <c r="C9" s="6" t="s">
        <v>34</v>
      </c>
      <c r="I9" s="67"/>
    </row>
    <row r="10" spans="1:9">
      <c r="C10" s="6" t="s">
        <v>35</v>
      </c>
      <c r="I10" s="67"/>
    </row>
    <row r="11" spans="1:9">
      <c r="C11" s="9" t="s">
        <v>28</v>
      </c>
      <c r="I11" s="67"/>
    </row>
    <row r="12" spans="1:9">
      <c r="I12" s="67"/>
    </row>
    <row r="13" spans="1:9">
      <c r="I13" s="67"/>
    </row>
    <row r="14" spans="1:9">
      <c r="I14" s="67"/>
    </row>
    <row r="15" spans="1:9">
      <c r="I15" s="67"/>
    </row>
    <row r="16" spans="1:9">
      <c r="I16" s="67"/>
    </row>
    <row r="17" spans="9:9">
      <c r="I17" s="67"/>
    </row>
    <row r="18" spans="9:9">
      <c r="I18" s="67"/>
    </row>
    <row r="19" spans="9:9">
      <c r="I19" s="67"/>
    </row>
    <row r="20" spans="9:9">
      <c r="I20" s="67"/>
    </row>
  </sheetData>
  <mergeCells count="3">
    <mergeCell ref="A1:C1"/>
    <mergeCell ref="D1:F1"/>
    <mergeCell ref="G1:I1"/>
  </mergeCells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29282-78AF-B24A-BC83-CCE60E3BD0DF}">
  <sheetPr codeName="Sheet3"/>
  <dimension ref="A1:N40"/>
  <sheetViews>
    <sheetView workbookViewId="0">
      <selection activeCell="G23" sqref="G23"/>
    </sheetView>
  </sheetViews>
  <sheetFormatPr baseColWidth="10" defaultRowHeight="18"/>
  <cols>
    <col min="1" max="1" width="4.85546875" customWidth="1"/>
    <col min="2" max="2" width="11.7109375" customWidth="1"/>
    <col min="3" max="3" width="8.140625" customWidth="1"/>
    <col min="4" max="4" width="10" customWidth="1"/>
    <col min="5" max="5" width="14" customWidth="1"/>
    <col min="6" max="6" width="19.42578125" customWidth="1"/>
    <col min="7" max="7" width="77.7109375" customWidth="1"/>
    <col min="8" max="8" width="63.7109375" customWidth="1"/>
    <col min="9" max="9" width="7.5703125" customWidth="1"/>
    <col min="10" max="10" width="10.7109375" customWidth="1"/>
    <col min="11" max="11" width="11.28515625" bestFit="1" customWidth="1"/>
    <col min="12" max="18" width="10.7109375" customWidth="1"/>
  </cols>
  <sheetData>
    <row r="1" spans="1:14" ht="20" customHeight="1">
      <c r="A1" s="108" t="s">
        <v>189</v>
      </c>
      <c r="B1" s="109"/>
      <c r="C1" s="109"/>
      <c r="D1" s="109"/>
      <c r="E1" s="109"/>
      <c r="F1" s="109"/>
      <c r="G1" s="109"/>
      <c r="H1" s="109"/>
      <c r="I1" s="110"/>
      <c r="J1" s="117" t="s">
        <v>190</v>
      </c>
      <c r="K1" s="118"/>
      <c r="L1" s="119"/>
      <c r="N1" s="41"/>
    </row>
    <row r="2" spans="1:14" ht="18" customHeight="1">
      <c r="A2" s="111"/>
      <c r="B2" s="112"/>
      <c r="C2" s="112"/>
      <c r="D2" s="112"/>
      <c r="E2" s="112"/>
      <c r="F2" s="112"/>
      <c r="G2" s="112"/>
      <c r="H2" s="112"/>
      <c r="I2" s="113"/>
      <c r="J2" s="120"/>
      <c r="K2" s="121"/>
      <c r="L2" s="122"/>
      <c r="N2" s="41"/>
    </row>
    <row r="3" spans="1:14" ht="18" customHeight="1">
      <c r="A3" s="111"/>
      <c r="B3" s="112"/>
      <c r="C3" s="112"/>
      <c r="D3" s="112"/>
      <c r="E3" s="112"/>
      <c r="F3" s="112"/>
      <c r="G3" s="112"/>
      <c r="H3" s="112"/>
      <c r="I3" s="113"/>
      <c r="J3" s="42"/>
      <c r="K3" s="43"/>
      <c r="L3" s="44"/>
      <c r="N3" s="41"/>
    </row>
    <row r="4" spans="1:14" ht="18" customHeight="1">
      <c r="A4" s="111"/>
      <c r="B4" s="112"/>
      <c r="C4" s="112"/>
      <c r="D4" s="112"/>
      <c r="E4" s="112"/>
      <c r="F4" s="112">
        <v>12</v>
      </c>
      <c r="G4" s="112"/>
      <c r="H4" s="112"/>
      <c r="I4" s="113"/>
      <c r="J4" s="45"/>
      <c r="K4" s="46"/>
      <c r="L4" s="47"/>
      <c r="N4" s="41"/>
    </row>
    <row r="5" spans="1:14" ht="18" customHeight="1">
      <c r="A5" s="114"/>
      <c r="B5" s="115"/>
      <c r="C5" s="115"/>
      <c r="D5" s="115"/>
      <c r="E5" s="115"/>
      <c r="F5" s="115"/>
      <c r="G5" s="115"/>
      <c r="H5" s="115"/>
      <c r="I5" s="116"/>
      <c r="J5" s="48"/>
      <c r="K5" s="49"/>
      <c r="L5" s="50"/>
      <c r="N5" s="41"/>
    </row>
    <row r="6" spans="1:14">
      <c r="N6" s="41"/>
    </row>
    <row r="7" spans="1:14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  <c r="N7" s="41"/>
    </row>
    <row r="8" spans="1:14">
      <c r="A8" s="65">
        <v>1</v>
      </c>
      <c r="B8" s="65" t="s">
        <v>44</v>
      </c>
      <c r="C8" s="65" t="s">
        <v>45</v>
      </c>
      <c r="D8" s="65" t="s">
        <v>47</v>
      </c>
      <c r="E8" s="65" t="s">
        <v>48</v>
      </c>
      <c r="F8" s="65" t="s">
        <v>48</v>
      </c>
      <c r="G8" s="65" t="s">
        <v>50</v>
      </c>
      <c r="H8" s="65"/>
      <c r="I8" s="65" t="s">
        <v>41</v>
      </c>
      <c r="J8" s="65"/>
      <c r="K8" s="65">
        <v>2</v>
      </c>
    </row>
    <row r="9" spans="1:14">
      <c r="A9" s="65">
        <v>2</v>
      </c>
      <c r="B9" s="65" t="s">
        <v>44</v>
      </c>
      <c r="C9" s="65" t="s">
        <v>42</v>
      </c>
      <c r="D9" s="65" t="s">
        <v>47</v>
      </c>
      <c r="E9" s="65" t="s">
        <v>48</v>
      </c>
      <c r="F9" s="65" t="s">
        <v>52</v>
      </c>
      <c r="G9" s="65" t="s">
        <v>53</v>
      </c>
      <c r="H9" s="65"/>
      <c r="I9" s="65" t="s">
        <v>54</v>
      </c>
      <c r="J9" s="65"/>
      <c r="K9" s="65" t="s">
        <v>328</v>
      </c>
    </row>
    <row r="10" spans="1:14">
      <c r="A10" s="65">
        <v>3</v>
      </c>
      <c r="B10" s="65" t="s">
        <v>44</v>
      </c>
      <c r="C10" s="65" t="s">
        <v>46</v>
      </c>
      <c r="D10" s="65" t="s">
        <v>47</v>
      </c>
      <c r="E10" s="65" t="s">
        <v>48</v>
      </c>
      <c r="F10" s="65" t="s">
        <v>55</v>
      </c>
      <c r="G10" s="65" t="s">
        <v>60</v>
      </c>
      <c r="H10" s="65" t="s">
        <v>56</v>
      </c>
      <c r="I10" s="65" t="s">
        <v>57</v>
      </c>
      <c r="J10" s="65"/>
      <c r="K10" s="65" t="s">
        <v>328</v>
      </c>
    </row>
    <row r="11" spans="1:14" ht="19">
      <c r="A11" s="65">
        <v>4</v>
      </c>
      <c r="B11" s="65" t="s">
        <v>44</v>
      </c>
      <c r="C11" s="65" t="s">
        <v>62</v>
      </c>
      <c r="D11" s="65" t="s">
        <v>47</v>
      </c>
      <c r="E11" s="65" t="s">
        <v>48</v>
      </c>
      <c r="F11" s="65" t="s">
        <v>58</v>
      </c>
      <c r="G11" s="68" t="s">
        <v>59</v>
      </c>
      <c r="H11" s="65" t="s">
        <v>61</v>
      </c>
      <c r="I11" s="65" t="s">
        <v>57</v>
      </c>
      <c r="J11" s="65"/>
      <c r="K11" s="65" t="s">
        <v>328</v>
      </c>
    </row>
    <row r="12" spans="1:14" ht="38">
      <c r="A12" s="65">
        <v>18</v>
      </c>
      <c r="B12" s="65" t="s">
        <v>209</v>
      </c>
      <c r="C12" s="65" t="s">
        <v>246</v>
      </c>
      <c r="D12" s="65" t="s">
        <v>243</v>
      </c>
      <c r="E12" s="65" t="s">
        <v>48</v>
      </c>
      <c r="F12" s="65" t="s">
        <v>321</v>
      </c>
      <c r="G12" s="65" t="s">
        <v>247</v>
      </c>
      <c r="H12" s="68" t="s">
        <v>322</v>
      </c>
      <c r="I12" s="65" t="s">
        <v>41</v>
      </c>
      <c r="J12" s="65"/>
      <c r="K12" s="65" t="s">
        <v>328</v>
      </c>
    </row>
    <row r="13" spans="1:14" ht="38">
      <c r="A13" s="65">
        <v>19</v>
      </c>
      <c r="B13" s="65" t="s">
        <v>209</v>
      </c>
      <c r="C13" s="65" t="s">
        <v>257</v>
      </c>
      <c r="D13" s="65" t="s">
        <v>243</v>
      </c>
      <c r="E13" s="65" t="s">
        <v>48</v>
      </c>
      <c r="F13" s="65" t="s">
        <v>323</v>
      </c>
      <c r="G13" s="68" t="s">
        <v>324</v>
      </c>
      <c r="H13" s="68" t="s">
        <v>325</v>
      </c>
      <c r="I13" s="65" t="s">
        <v>41</v>
      </c>
      <c r="J13" s="65"/>
      <c r="K13" s="65" t="s">
        <v>328</v>
      </c>
    </row>
    <row r="14" spans="1:14" ht="38">
      <c r="A14" s="65">
        <v>20</v>
      </c>
      <c r="B14" s="65" t="s">
        <v>209</v>
      </c>
      <c r="C14" s="65" t="s">
        <v>260</v>
      </c>
      <c r="D14" s="65" t="s">
        <v>243</v>
      </c>
      <c r="E14" s="65" t="s">
        <v>48</v>
      </c>
      <c r="F14" s="65" t="s">
        <v>250</v>
      </c>
      <c r="G14" s="68" t="s">
        <v>326</v>
      </c>
      <c r="H14" s="68" t="s">
        <v>327</v>
      </c>
      <c r="I14" s="65" t="s">
        <v>41</v>
      </c>
      <c r="J14" s="65"/>
      <c r="K14" s="65" t="s">
        <v>328</v>
      </c>
    </row>
    <row r="15" spans="1:14" ht="38">
      <c r="A15" s="65">
        <v>5</v>
      </c>
      <c r="B15" s="65" t="s">
        <v>44</v>
      </c>
      <c r="C15" s="65" t="s">
        <v>64</v>
      </c>
      <c r="D15" s="65" t="s">
        <v>47</v>
      </c>
      <c r="E15" s="65" t="s">
        <v>49</v>
      </c>
      <c r="F15" s="65" t="s">
        <v>49</v>
      </c>
      <c r="G15" s="65" t="s">
        <v>63</v>
      </c>
      <c r="H15" s="68" t="s">
        <v>145</v>
      </c>
      <c r="I15" s="65" t="s">
        <v>41</v>
      </c>
      <c r="J15" s="65"/>
      <c r="K15" s="65">
        <v>1</v>
      </c>
    </row>
    <row r="16" spans="1:14">
      <c r="A16" s="65">
        <v>6</v>
      </c>
      <c r="B16" s="65" t="s">
        <v>44</v>
      </c>
      <c r="C16" s="65" t="s">
        <v>67</v>
      </c>
      <c r="D16" s="65" t="s">
        <v>47</v>
      </c>
      <c r="E16" s="65" t="s">
        <v>49</v>
      </c>
      <c r="F16" s="65" t="s">
        <v>65</v>
      </c>
      <c r="G16" s="65" t="s">
        <v>66</v>
      </c>
      <c r="H16" s="65" t="s">
        <v>239</v>
      </c>
      <c r="I16" s="65" t="s">
        <v>57</v>
      </c>
      <c r="J16" s="65"/>
      <c r="K16" s="65" t="s">
        <v>241</v>
      </c>
    </row>
    <row r="17" spans="1:11">
      <c r="A17" s="65">
        <v>7</v>
      </c>
      <c r="B17" s="65" t="s">
        <v>44</v>
      </c>
      <c r="C17" s="65" t="s">
        <v>71</v>
      </c>
      <c r="D17" s="65" t="s">
        <v>47</v>
      </c>
      <c r="E17" s="65" t="s">
        <v>49</v>
      </c>
      <c r="F17" s="65" t="s">
        <v>68</v>
      </c>
      <c r="G17" s="65" t="s">
        <v>69</v>
      </c>
      <c r="H17" s="65" t="s">
        <v>70</v>
      </c>
      <c r="I17" s="65" t="s">
        <v>57</v>
      </c>
      <c r="J17" s="65"/>
      <c r="K17" s="65" t="s">
        <v>241</v>
      </c>
    </row>
    <row r="18" spans="1:11" ht="38">
      <c r="A18" s="65">
        <v>21</v>
      </c>
      <c r="B18" s="65" t="s">
        <v>209</v>
      </c>
      <c r="C18" s="65" t="s">
        <v>265</v>
      </c>
      <c r="D18" s="65" t="s">
        <v>243</v>
      </c>
      <c r="E18" s="65" t="s">
        <v>49</v>
      </c>
      <c r="F18" s="65" t="s">
        <v>254</v>
      </c>
      <c r="G18" s="65" t="s">
        <v>255</v>
      </c>
      <c r="H18" s="68" t="s">
        <v>256</v>
      </c>
      <c r="I18" s="65" t="s">
        <v>41</v>
      </c>
      <c r="J18" s="65"/>
      <c r="K18" s="65" t="s">
        <v>241</v>
      </c>
    </row>
    <row r="19" spans="1:11" ht="57">
      <c r="A19" s="65">
        <v>22</v>
      </c>
      <c r="B19" s="65" t="s">
        <v>209</v>
      </c>
      <c r="C19" s="65" t="s">
        <v>268</v>
      </c>
      <c r="D19" s="65" t="s">
        <v>243</v>
      </c>
      <c r="E19" s="65" t="s">
        <v>49</v>
      </c>
      <c r="F19" s="65" t="s">
        <v>262</v>
      </c>
      <c r="G19" s="65" t="s">
        <v>263</v>
      </c>
      <c r="H19" s="68" t="s">
        <v>264</v>
      </c>
      <c r="I19" s="65" t="s">
        <v>41</v>
      </c>
      <c r="J19" s="65"/>
      <c r="K19" s="65" t="s">
        <v>241</v>
      </c>
    </row>
    <row r="20" spans="1:11">
      <c r="A20" s="65">
        <v>8</v>
      </c>
      <c r="B20" s="65" t="s">
        <v>188</v>
      </c>
      <c r="C20" s="65" t="s">
        <v>73</v>
      </c>
      <c r="D20" s="65" t="s">
        <v>47</v>
      </c>
      <c r="E20" s="65" t="s">
        <v>78</v>
      </c>
      <c r="F20" s="65" t="s">
        <v>75</v>
      </c>
      <c r="G20" s="65" t="s">
        <v>76</v>
      </c>
      <c r="H20" s="65" t="s">
        <v>77</v>
      </c>
      <c r="I20" s="65" t="s">
        <v>41</v>
      </c>
      <c r="J20" s="65"/>
      <c r="K20" s="65">
        <v>1</v>
      </c>
    </row>
    <row r="21" spans="1:11">
      <c r="A21" s="65">
        <v>9</v>
      </c>
      <c r="B21" s="65" t="s">
        <v>188</v>
      </c>
      <c r="C21" s="65" t="s">
        <v>81</v>
      </c>
      <c r="D21" s="65" t="s">
        <v>47</v>
      </c>
      <c r="E21" s="65" t="s">
        <v>78</v>
      </c>
      <c r="F21" s="65" t="s">
        <v>79</v>
      </c>
      <c r="G21" s="65" t="s">
        <v>80</v>
      </c>
      <c r="H21" s="65"/>
      <c r="I21" s="65" t="s">
        <v>57</v>
      </c>
      <c r="J21" s="65"/>
      <c r="K21" s="65" t="s">
        <v>241</v>
      </c>
    </row>
    <row r="22" spans="1:11">
      <c r="A22" s="65">
        <v>10</v>
      </c>
      <c r="B22" s="65" t="s">
        <v>188</v>
      </c>
      <c r="C22" s="65" t="s">
        <v>82</v>
      </c>
      <c r="D22" s="65" t="s">
        <v>74</v>
      </c>
      <c r="E22" s="65" t="s">
        <v>78</v>
      </c>
      <c r="F22" s="65" t="s">
        <v>85</v>
      </c>
      <c r="G22" s="65" t="s">
        <v>86</v>
      </c>
      <c r="H22" s="65"/>
      <c r="I22" s="65" t="s">
        <v>54</v>
      </c>
      <c r="J22" s="65"/>
      <c r="K22" s="65" t="s">
        <v>241</v>
      </c>
    </row>
    <row r="23" spans="1:11">
      <c r="A23" s="65">
        <v>11</v>
      </c>
      <c r="B23" s="65" t="s">
        <v>188</v>
      </c>
      <c r="C23" s="65" t="s">
        <v>87</v>
      </c>
      <c r="D23" s="65" t="s">
        <v>47</v>
      </c>
      <c r="E23" s="65" t="s">
        <v>78</v>
      </c>
      <c r="F23" s="65" t="s">
        <v>83</v>
      </c>
      <c r="G23" s="65" t="s">
        <v>89</v>
      </c>
      <c r="H23" s="65" t="s">
        <v>84</v>
      </c>
      <c r="I23" s="65" t="s">
        <v>41</v>
      </c>
      <c r="J23" s="65"/>
      <c r="K23" s="65" t="s">
        <v>241</v>
      </c>
    </row>
    <row r="24" spans="1:11" ht="38">
      <c r="A24" s="65">
        <v>12</v>
      </c>
      <c r="B24" s="65" t="s">
        <v>44</v>
      </c>
      <c r="C24" s="65" t="s">
        <v>92</v>
      </c>
      <c r="D24" s="65" t="s">
        <v>74</v>
      </c>
      <c r="E24" s="65" t="s">
        <v>88</v>
      </c>
      <c r="F24" s="65" t="s">
        <v>90</v>
      </c>
      <c r="G24" s="68" t="s">
        <v>223</v>
      </c>
      <c r="H24" s="65" t="s">
        <v>224</v>
      </c>
      <c r="I24" s="65" t="s">
        <v>41</v>
      </c>
      <c r="J24" s="65"/>
      <c r="K24" s="65">
        <v>5</v>
      </c>
    </row>
    <row r="25" spans="1:11" ht="57">
      <c r="A25" s="65">
        <v>23</v>
      </c>
      <c r="B25" s="65" t="s">
        <v>209</v>
      </c>
      <c r="C25" s="65" t="s">
        <v>271</v>
      </c>
      <c r="D25" s="65" t="s">
        <v>243</v>
      </c>
      <c r="E25" s="65" t="s">
        <v>88</v>
      </c>
      <c r="F25" s="65" t="s">
        <v>259</v>
      </c>
      <c r="G25" s="65" t="s">
        <v>261</v>
      </c>
      <c r="H25" s="68" t="s">
        <v>297</v>
      </c>
      <c r="I25" s="65" t="s">
        <v>41</v>
      </c>
      <c r="J25" s="65"/>
      <c r="K25" s="65" t="s">
        <v>330</v>
      </c>
    </row>
    <row r="26" spans="1:11">
      <c r="A26" s="65">
        <v>13</v>
      </c>
      <c r="B26" s="65" t="s">
        <v>44</v>
      </c>
      <c r="C26" s="65" t="s">
        <v>94</v>
      </c>
      <c r="D26" s="65" t="s">
        <v>47</v>
      </c>
      <c r="E26" s="65" t="s">
        <v>88</v>
      </c>
      <c r="F26" s="65" t="s">
        <v>93</v>
      </c>
      <c r="G26" s="65" t="s">
        <v>222</v>
      </c>
      <c r="H26" s="65" t="s">
        <v>278</v>
      </c>
      <c r="I26" s="65" t="s">
        <v>41</v>
      </c>
      <c r="J26" s="65"/>
      <c r="K26" s="65">
        <v>1</v>
      </c>
    </row>
    <row r="27" spans="1:11" ht="38">
      <c r="A27" s="65">
        <v>25</v>
      </c>
      <c r="B27" s="65" t="s">
        <v>209</v>
      </c>
      <c r="C27" s="65" t="s">
        <v>284</v>
      </c>
      <c r="D27" s="65" t="s">
        <v>243</v>
      </c>
      <c r="E27" s="65" t="s">
        <v>88</v>
      </c>
      <c r="F27" s="65" t="s">
        <v>272</v>
      </c>
      <c r="G27" s="65" t="s">
        <v>270</v>
      </c>
      <c r="H27" s="68" t="s">
        <v>275</v>
      </c>
      <c r="I27" s="65" t="s">
        <v>41</v>
      </c>
      <c r="J27" s="65"/>
      <c r="K27" s="65" t="s">
        <v>241</v>
      </c>
    </row>
    <row r="28" spans="1:11">
      <c r="A28" s="65">
        <v>14</v>
      </c>
      <c r="B28" s="65" t="s">
        <v>44</v>
      </c>
      <c r="C28" s="65" t="s">
        <v>98</v>
      </c>
      <c r="D28" s="65" t="s">
        <v>74</v>
      </c>
      <c r="E28" s="65" t="s">
        <v>88</v>
      </c>
      <c r="F28" s="65" t="s">
        <v>95</v>
      </c>
      <c r="G28" s="65" t="s">
        <v>97</v>
      </c>
      <c r="H28" s="65"/>
      <c r="I28" s="65" t="s">
        <v>41</v>
      </c>
      <c r="J28" s="65"/>
      <c r="K28" s="65">
        <v>1</v>
      </c>
    </row>
    <row r="29" spans="1:11" ht="38">
      <c r="A29" s="65">
        <v>26</v>
      </c>
      <c r="B29" s="65" t="s">
        <v>209</v>
      </c>
      <c r="C29" s="65" t="s">
        <v>287</v>
      </c>
      <c r="D29" s="65" t="s">
        <v>243</v>
      </c>
      <c r="E29" s="65" t="s">
        <v>88</v>
      </c>
      <c r="F29" s="65" t="s">
        <v>273</v>
      </c>
      <c r="G29" s="65" t="s">
        <v>274</v>
      </c>
      <c r="H29" s="68" t="s">
        <v>275</v>
      </c>
      <c r="I29" s="65" t="s">
        <v>41</v>
      </c>
      <c r="J29" s="65"/>
      <c r="K29" s="65" t="s">
        <v>241</v>
      </c>
    </row>
    <row r="30" spans="1:11">
      <c r="A30" s="65">
        <v>15</v>
      </c>
      <c r="B30" s="65" t="s">
        <v>44</v>
      </c>
      <c r="C30" s="65" t="s">
        <v>101</v>
      </c>
      <c r="D30" s="65" t="s">
        <v>47</v>
      </c>
      <c r="E30" s="65" t="s">
        <v>88</v>
      </c>
      <c r="F30" s="65" t="s">
        <v>99</v>
      </c>
      <c r="G30" s="65" t="s">
        <v>225</v>
      </c>
      <c r="H30" s="65"/>
      <c r="I30" s="65" t="s">
        <v>41</v>
      </c>
      <c r="J30" s="65"/>
      <c r="K30" s="65">
        <v>3</v>
      </c>
    </row>
    <row r="31" spans="1:11" ht="76">
      <c r="A31" s="65">
        <v>24</v>
      </c>
      <c r="B31" s="65" t="s">
        <v>209</v>
      </c>
      <c r="C31" s="65" t="s">
        <v>277</v>
      </c>
      <c r="D31" s="65" t="s">
        <v>243</v>
      </c>
      <c r="E31" s="65" t="s">
        <v>88</v>
      </c>
      <c r="F31" s="65" t="s">
        <v>266</v>
      </c>
      <c r="G31" s="65" t="s">
        <v>267</v>
      </c>
      <c r="H31" s="68" t="s">
        <v>295</v>
      </c>
      <c r="I31" s="65" t="s">
        <v>41</v>
      </c>
      <c r="J31" s="65"/>
      <c r="K31" s="65" t="s">
        <v>332</v>
      </c>
    </row>
    <row r="32" spans="1:11" ht="57">
      <c r="A32" s="65">
        <v>16</v>
      </c>
      <c r="B32" s="65" t="s">
        <v>44</v>
      </c>
      <c r="C32" s="65" t="s">
        <v>245</v>
      </c>
      <c r="D32" s="65" t="s">
        <v>47</v>
      </c>
      <c r="E32" s="65" t="s">
        <v>88</v>
      </c>
      <c r="F32" s="65" t="s">
        <v>280</v>
      </c>
      <c r="G32" s="68" t="s">
        <v>282</v>
      </c>
      <c r="H32" s="65"/>
      <c r="I32" s="65" t="s">
        <v>41</v>
      </c>
      <c r="J32" s="65"/>
      <c r="K32" s="65">
        <v>2</v>
      </c>
    </row>
    <row r="33" spans="1:11" ht="76">
      <c r="A33" s="65">
        <v>27</v>
      </c>
      <c r="B33" s="65" t="s">
        <v>209</v>
      </c>
      <c r="C33" s="65" t="s">
        <v>305</v>
      </c>
      <c r="D33" s="65" t="s">
        <v>243</v>
      </c>
      <c r="E33" s="65" t="s">
        <v>88</v>
      </c>
      <c r="F33" s="65" t="s">
        <v>292</v>
      </c>
      <c r="G33" s="68" t="s">
        <v>309</v>
      </c>
      <c r="H33" s="68" t="s">
        <v>299</v>
      </c>
      <c r="I33" s="65" t="s">
        <v>41</v>
      </c>
      <c r="J33" s="65"/>
      <c r="K33" s="65" t="s">
        <v>328</v>
      </c>
    </row>
    <row r="34" spans="1:11" ht="57">
      <c r="A34" s="65">
        <v>17</v>
      </c>
      <c r="B34" s="65" t="s">
        <v>44</v>
      </c>
      <c r="C34" s="65" t="s">
        <v>313</v>
      </c>
      <c r="D34" s="65" t="s">
        <v>47</v>
      </c>
      <c r="E34" s="65" t="s">
        <v>88</v>
      </c>
      <c r="F34" s="65" t="s">
        <v>302</v>
      </c>
      <c r="G34" s="65" t="s">
        <v>303</v>
      </c>
      <c r="H34" s="68" t="s">
        <v>293</v>
      </c>
      <c r="I34" s="65" t="s">
        <v>41</v>
      </c>
      <c r="J34" s="65"/>
      <c r="K34" s="65" t="s">
        <v>328</v>
      </c>
    </row>
    <row r="35" spans="1:11" ht="76">
      <c r="A35" s="65">
        <v>28</v>
      </c>
      <c r="B35" s="65" t="s">
        <v>209</v>
      </c>
      <c r="C35" s="65" t="s">
        <v>312</v>
      </c>
      <c r="D35" s="65" t="s">
        <v>243</v>
      </c>
      <c r="E35" s="65" t="s">
        <v>88</v>
      </c>
      <c r="F35" s="65" t="s">
        <v>306</v>
      </c>
      <c r="G35" s="68" t="s">
        <v>311</v>
      </c>
      <c r="H35" s="68" t="s">
        <v>308</v>
      </c>
      <c r="I35" s="65" t="s">
        <v>41</v>
      </c>
      <c r="J35" s="65"/>
      <c r="K35" s="65" t="s">
        <v>328</v>
      </c>
    </row>
    <row r="36" spans="1:11" ht="38">
      <c r="A36" s="65">
        <v>29</v>
      </c>
      <c r="B36" s="65" t="s">
        <v>209</v>
      </c>
      <c r="C36" s="65" t="s">
        <v>320</v>
      </c>
      <c r="D36" s="65" t="s">
        <v>243</v>
      </c>
      <c r="E36" s="65" t="s">
        <v>142</v>
      </c>
      <c r="F36" s="65" t="s">
        <v>318</v>
      </c>
      <c r="G36" s="68" t="s">
        <v>314</v>
      </c>
      <c r="H36" s="68" t="s">
        <v>316</v>
      </c>
      <c r="I36" s="65" t="s">
        <v>41</v>
      </c>
      <c r="J36" s="65"/>
      <c r="K36" s="65">
        <v>3</v>
      </c>
    </row>
    <row r="37" spans="1:11">
      <c r="A37" s="65">
        <v>30</v>
      </c>
      <c r="B37" s="65" t="s">
        <v>188</v>
      </c>
      <c r="C37" s="65" t="s">
        <v>208</v>
      </c>
      <c r="D37" s="65" t="s">
        <v>47</v>
      </c>
      <c r="E37" s="65" t="s">
        <v>78</v>
      </c>
      <c r="F37" s="65" t="s">
        <v>206</v>
      </c>
      <c r="G37" s="65" t="s">
        <v>207</v>
      </c>
      <c r="H37" s="65"/>
      <c r="I37" s="65" t="s">
        <v>57</v>
      </c>
      <c r="J37" s="65"/>
      <c r="K37" s="65">
        <v>0</v>
      </c>
    </row>
    <row r="38" spans="1:11">
      <c r="A38" s="65">
        <v>31</v>
      </c>
      <c r="B38" s="65" t="s">
        <v>209</v>
      </c>
      <c r="C38" s="65" t="s">
        <v>213</v>
      </c>
      <c r="D38" s="65" t="s">
        <v>47</v>
      </c>
      <c r="E38" s="65" t="s">
        <v>78</v>
      </c>
      <c r="F38" s="65" t="s">
        <v>210</v>
      </c>
      <c r="G38" s="65" t="s">
        <v>211</v>
      </c>
      <c r="H38" s="65" t="s">
        <v>212</v>
      </c>
      <c r="I38" s="65" t="s">
        <v>41</v>
      </c>
      <c r="J38" s="65"/>
      <c r="K38" s="65">
        <v>0</v>
      </c>
    </row>
    <row r="39" spans="1:11">
      <c r="A39" s="65">
        <v>32</v>
      </c>
      <c r="B39" s="65" t="s">
        <v>209</v>
      </c>
      <c r="C39" s="65" t="s">
        <v>216</v>
      </c>
      <c r="D39" s="65" t="s">
        <v>47</v>
      </c>
      <c r="E39" s="65" t="s">
        <v>78</v>
      </c>
      <c r="F39" s="65" t="s">
        <v>214</v>
      </c>
      <c r="G39" s="65" t="s">
        <v>215</v>
      </c>
      <c r="H39" s="65"/>
      <c r="I39" s="65" t="s">
        <v>41</v>
      </c>
      <c r="J39" s="65"/>
      <c r="K39" s="65">
        <v>0</v>
      </c>
    </row>
    <row r="40" spans="1:11">
      <c r="A40" s="65">
        <v>33</v>
      </c>
      <c r="B40" s="65" t="s">
        <v>195</v>
      </c>
      <c r="C40" s="65" t="s">
        <v>218</v>
      </c>
      <c r="D40" s="65" t="s">
        <v>47</v>
      </c>
      <c r="E40" s="65" t="s">
        <v>78</v>
      </c>
      <c r="F40" s="65" t="s">
        <v>217</v>
      </c>
      <c r="G40" s="65" t="s">
        <v>226</v>
      </c>
      <c r="H40" s="65"/>
      <c r="I40" s="65" t="s">
        <v>41</v>
      </c>
      <c r="J40" s="65"/>
      <c r="K40" s="65">
        <v>0</v>
      </c>
    </row>
  </sheetData>
  <autoFilter ref="A7:I18" xr:uid="{36E29282-78AF-B24A-BC83-CCE60E3BD0DF}"/>
  <mergeCells count="2">
    <mergeCell ref="A1:I5"/>
    <mergeCell ref="J1:L2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sprints">
              <controlPr locked="0" defaultSize="0" autoLine="0" autoPict="0" macro="[0]!selectBacklog">
                <anchor moveWithCells="1">
                  <from>
                    <xdr:col>9</xdr:col>
                    <xdr:colOff>101600</xdr:colOff>
                    <xdr:row>2</xdr:row>
                    <xdr:rowOff>101600</xdr:rowOff>
                  </from>
                  <to>
                    <xdr:col>11</xdr:col>
                    <xdr:colOff>825500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aveBacklog">
                <anchor moveWithCells="1" sizeWithCells="1">
                  <from>
                    <xdr:col>7</xdr:col>
                    <xdr:colOff>4673600</xdr:colOff>
                    <xdr:row>0</xdr:row>
                    <xdr:rowOff>127000</xdr:rowOff>
                  </from>
                  <to>
                    <xdr:col>8</xdr:col>
                    <xdr:colOff>533400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E4D91-CBA4-5C46-888A-23FB0CD138F1}">
  <sheetPr codeName="Sheet4"/>
  <dimension ref="A1:K40"/>
  <sheetViews>
    <sheetView workbookViewId="0">
      <selection activeCell="L28" sqref="L2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191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  <row r="8" spans="1:11">
      <c r="A8" s="69">
        <v>1</v>
      </c>
      <c r="B8" s="70" t="s">
        <v>44</v>
      </c>
      <c r="C8" s="70" t="s">
        <v>45</v>
      </c>
      <c r="D8" s="70" t="s">
        <v>47</v>
      </c>
      <c r="E8" s="70" t="s">
        <v>48</v>
      </c>
      <c r="F8" s="70" t="s">
        <v>48</v>
      </c>
      <c r="G8" s="70" t="s">
        <v>50</v>
      </c>
      <c r="H8" s="70"/>
      <c r="I8" s="70" t="s">
        <v>41</v>
      </c>
      <c r="J8" s="65"/>
      <c r="K8" s="65">
        <v>2</v>
      </c>
    </row>
    <row r="9" spans="1:11">
      <c r="A9" s="69">
        <v>2</v>
      </c>
      <c r="B9" s="70" t="s">
        <v>44</v>
      </c>
      <c r="C9" s="70" t="s">
        <v>42</v>
      </c>
      <c r="D9" s="70" t="s">
        <v>47</v>
      </c>
      <c r="E9" s="70" t="s">
        <v>48</v>
      </c>
      <c r="F9" s="70" t="s">
        <v>52</v>
      </c>
      <c r="G9" s="70" t="s">
        <v>53</v>
      </c>
      <c r="H9" s="70"/>
      <c r="I9" s="70" t="s">
        <v>54</v>
      </c>
      <c r="J9" s="65"/>
      <c r="K9" s="65" t="s">
        <v>329</v>
      </c>
    </row>
    <row r="10" spans="1:11">
      <c r="A10" s="69">
        <v>3</v>
      </c>
      <c r="B10" s="70" t="s">
        <v>44</v>
      </c>
      <c r="C10" s="70" t="s">
        <v>46</v>
      </c>
      <c r="D10" s="70" t="s">
        <v>47</v>
      </c>
      <c r="E10" s="70" t="s">
        <v>48</v>
      </c>
      <c r="F10" s="70" t="s">
        <v>55</v>
      </c>
      <c r="G10" s="70" t="s">
        <v>60</v>
      </c>
      <c r="H10" s="70" t="s">
        <v>56</v>
      </c>
      <c r="I10" s="70" t="s">
        <v>57</v>
      </c>
      <c r="J10" s="65"/>
      <c r="K10" s="65" t="s">
        <v>329</v>
      </c>
    </row>
    <row r="11" spans="1:11">
      <c r="A11" s="69">
        <v>4</v>
      </c>
      <c r="B11" s="70" t="s">
        <v>44</v>
      </c>
      <c r="C11" s="70" t="s">
        <v>62</v>
      </c>
      <c r="D11" s="70" t="s">
        <v>47</v>
      </c>
      <c r="E11" s="70" t="s">
        <v>48</v>
      </c>
      <c r="F11" s="70" t="s">
        <v>58</v>
      </c>
      <c r="G11" s="70" t="s">
        <v>59</v>
      </c>
      <c r="H11" s="70" t="s">
        <v>61</v>
      </c>
      <c r="I11" s="70" t="s">
        <v>57</v>
      </c>
      <c r="J11" s="65"/>
      <c r="K11" s="65" t="s">
        <v>329</v>
      </c>
    </row>
    <row r="12" spans="1:11" ht="38">
      <c r="A12" s="69">
        <v>18</v>
      </c>
      <c r="B12" s="70" t="s">
        <v>209</v>
      </c>
      <c r="C12" s="70" t="s">
        <v>246</v>
      </c>
      <c r="D12" s="70" t="s">
        <v>243</v>
      </c>
      <c r="E12" s="70" t="s">
        <v>48</v>
      </c>
      <c r="F12" s="70" t="s">
        <v>321</v>
      </c>
      <c r="G12" s="70" t="s">
        <v>247</v>
      </c>
      <c r="H12" s="71" t="s">
        <v>322</v>
      </c>
      <c r="I12" s="70" t="s">
        <v>41</v>
      </c>
      <c r="J12" s="73"/>
      <c r="K12" s="65" t="s">
        <v>329</v>
      </c>
    </row>
    <row r="13" spans="1:11" ht="38">
      <c r="A13" s="69">
        <v>19</v>
      </c>
      <c r="B13" s="70" t="s">
        <v>209</v>
      </c>
      <c r="C13" s="70" t="s">
        <v>257</v>
      </c>
      <c r="D13" s="70" t="s">
        <v>243</v>
      </c>
      <c r="E13" s="70" t="s">
        <v>48</v>
      </c>
      <c r="F13" s="70" t="s">
        <v>323</v>
      </c>
      <c r="G13" s="71" t="s">
        <v>324</v>
      </c>
      <c r="H13" s="71" t="s">
        <v>325</v>
      </c>
      <c r="I13" s="70" t="s">
        <v>41</v>
      </c>
      <c r="J13" s="73"/>
      <c r="K13" s="65" t="s">
        <v>329</v>
      </c>
    </row>
    <row r="14" spans="1:11" ht="38">
      <c r="A14" s="69">
        <v>20</v>
      </c>
      <c r="B14" s="70" t="s">
        <v>209</v>
      </c>
      <c r="C14" s="70" t="s">
        <v>260</v>
      </c>
      <c r="D14" s="70" t="s">
        <v>243</v>
      </c>
      <c r="E14" s="70" t="s">
        <v>48</v>
      </c>
      <c r="F14" s="70" t="s">
        <v>250</v>
      </c>
      <c r="G14" s="71" t="s">
        <v>326</v>
      </c>
      <c r="H14" s="71" t="s">
        <v>327</v>
      </c>
      <c r="I14" s="70" t="s">
        <v>41</v>
      </c>
      <c r="J14" s="73"/>
      <c r="K14" s="65" t="s">
        <v>329</v>
      </c>
    </row>
    <row r="15" spans="1:11" ht="38">
      <c r="A15" s="69">
        <v>5</v>
      </c>
      <c r="B15" s="70" t="s">
        <v>44</v>
      </c>
      <c r="C15" s="70" t="s">
        <v>64</v>
      </c>
      <c r="D15" s="70" t="s">
        <v>47</v>
      </c>
      <c r="E15" s="70" t="s">
        <v>49</v>
      </c>
      <c r="F15" s="70" t="s">
        <v>49</v>
      </c>
      <c r="G15" s="70" t="s">
        <v>63</v>
      </c>
      <c r="H15" s="71" t="s">
        <v>238</v>
      </c>
      <c r="I15" s="70" t="s">
        <v>41</v>
      </c>
      <c r="J15" s="65"/>
      <c r="K15" s="65">
        <v>1</v>
      </c>
    </row>
    <row r="16" spans="1:11">
      <c r="A16" s="69">
        <v>6</v>
      </c>
      <c r="B16" s="70" t="s">
        <v>44</v>
      </c>
      <c r="C16" s="70" t="s">
        <v>67</v>
      </c>
      <c r="D16" s="70" t="s">
        <v>47</v>
      </c>
      <c r="E16" s="70" t="s">
        <v>49</v>
      </c>
      <c r="F16" s="70" t="s">
        <v>65</v>
      </c>
      <c r="G16" s="70" t="s">
        <v>66</v>
      </c>
      <c r="H16" s="70" t="s">
        <v>239</v>
      </c>
      <c r="I16" s="70" t="s">
        <v>57</v>
      </c>
      <c r="J16" s="65"/>
      <c r="K16" s="65" t="s">
        <v>242</v>
      </c>
    </row>
    <row r="17" spans="1:11">
      <c r="A17" s="69">
        <v>7</v>
      </c>
      <c r="B17" s="70" t="s">
        <v>44</v>
      </c>
      <c r="C17" s="70" t="s">
        <v>71</v>
      </c>
      <c r="D17" s="70" t="s">
        <v>47</v>
      </c>
      <c r="E17" s="70" t="s">
        <v>49</v>
      </c>
      <c r="F17" s="70" t="s">
        <v>68</v>
      </c>
      <c r="G17" s="70" t="s">
        <v>69</v>
      </c>
      <c r="H17" s="70" t="s">
        <v>70</v>
      </c>
      <c r="I17" s="70" t="s">
        <v>57</v>
      </c>
      <c r="J17" s="65"/>
      <c r="K17" s="65" t="s">
        <v>242</v>
      </c>
    </row>
    <row r="18" spans="1:11" ht="38">
      <c r="A18" s="69">
        <v>21</v>
      </c>
      <c r="B18" s="70" t="s">
        <v>209</v>
      </c>
      <c r="C18" s="70" t="s">
        <v>265</v>
      </c>
      <c r="D18" s="70" t="s">
        <v>243</v>
      </c>
      <c r="E18" s="70" t="s">
        <v>49</v>
      </c>
      <c r="F18" s="70" t="s">
        <v>254</v>
      </c>
      <c r="G18" s="70" t="s">
        <v>255</v>
      </c>
      <c r="H18" s="71" t="s">
        <v>256</v>
      </c>
      <c r="I18" s="70" t="s">
        <v>41</v>
      </c>
      <c r="J18" s="73"/>
      <c r="K18" s="65" t="s">
        <v>242</v>
      </c>
    </row>
    <row r="19" spans="1:11" ht="57">
      <c r="A19" s="69">
        <v>22</v>
      </c>
      <c r="B19" s="70" t="s">
        <v>209</v>
      </c>
      <c r="C19" s="70" t="s">
        <v>268</v>
      </c>
      <c r="D19" s="70" t="s">
        <v>243</v>
      </c>
      <c r="E19" s="70" t="s">
        <v>49</v>
      </c>
      <c r="F19" s="70" t="s">
        <v>262</v>
      </c>
      <c r="G19" s="70" t="s">
        <v>263</v>
      </c>
      <c r="H19" s="71" t="s">
        <v>264</v>
      </c>
      <c r="I19" s="70" t="s">
        <v>41</v>
      </c>
      <c r="J19" s="73"/>
      <c r="K19" s="65" t="s">
        <v>242</v>
      </c>
    </row>
    <row r="20" spans="1:11">
      <c r="A20" s="69">
        <v>8</v>
      </c>
      <c r="B20" s="70" t="s">
        <v>188</v>
      </c>
      <c r="C20" s="70" t="s">
        <v>73</v>
      </c>
      <c r="D20" s="70" t="s">
        <v>47</v>
      </c>
      <c r="E20" s="70" t="s">
        <v>78</v>
      </c>
      <c r="F20" s="70" t="s">
        <v>75</v>
      </c>
      <c r="G20" s="70" t="s">
        <v>76</v>
      </c>
      <c r="H20" s="70" t="s">
        <v>77</v>
      </c>
      <c r="I20" s="70" t="s">
        <v>41</v>
      </c>
      <c r="J20" s="65"/>
      <c r="K20" s="65">
        <v>1</v>
      </c>
    </row>
    <row r="21" spans="1:11">
      <c r="A21" s="69">
        <v>9</v>
      </c>
      <c r="B21" s="69" t="s">
        <v>25</v>
      </c>
      <c r="C21" s="69" t="s">
        <v>81</v>
      </c>
      <c r="D21" s="69" t="s">
        <v>47</v>
      </c>
      <c r="E21" s="69" t="s">
        <v>78</v>
      </c>
      <c r="F21" s="69" t="s">
        <v>79</v>
      </c>
      <c r="G21" s="69" t="s">
        <v>80</v>
      </c>
      <c r="H21" s="69"/>
      <c r="I21" s="69" t="s">
        <v>57</v>
      </c>
      <c r="J21" s="65"/>
      <c r="K21" s="65" t="s">
        <v>242</v>
      </c>
    </row>
    <row r="22" spans="1:11">
      <c r="A22" s="69">
        <v>10</v>
      </c>
      <c r="B22" s="69" t="s">
        <v>25</v>
      </c>
      <c r="C22" s="69" t="s">
        <v>82</v>
      </c>
      <c r="D22" s="69" t="s">
        <v>74</v>
      </c>
      <c r="E22" s="69" t="s">
        <v>78</v>
      </c>
      <c r="F22" s="69" t="s">
        <v>85</v>
      </c>
      <c r="G22" s="69" t="s">
        <v>86</v>
      </c>
      <c r="H22" s="69"/>
      <c r="I22" s="69" t="s">
        <v>54</v>
      </c>
      <c r="J22" s="65"/>
      <c r="K22" s="65" t="s">
        <v>242</v>
      </c>
    </row>
    <row r="23" spans="1:11">
      <c r="A23" s="69">
        <v>11</v>
      </c>
      <c r="B23" s="69" t="s">
        <v>25</v>
      </c>
      <c r="C23" s="69" t="s">
        <v>87</v>
      </c>
      <c r="D23" s="69" t="s">
        <v>47</v>
      </c>
      <c r="E23" s="69" t="s">
        <v>78</v>
      </c>
      <c r="F23" s="69" t="s">
        <v>83</v>
      </c>
      <c r="G23" s="69" t="s">
        <v>220</v>
      </c>
      <c r="H23" s="69" t="s">
        <v>84</v>
      </c>
      <c r="I23" s="69" t="s">
        <v>43</v>
      </c>
      <c r="J23" s="65"/>
      <c r="K23" s="65" t="s">
        <v>242</v>
      </c>
    </row>
    <row r="24" spans="1:11" ht="38">
      <c r="A24" s="69">
        <v>12</v>
      </c>
      <c r="B24" s="69" t="s">
        <v>13</v>
      </c>
      <c r="C24" s="69" t="s">
        <v>92</v>
      </c>
      <c r="D24" s="69" t="s">
        <v>14</v>
      </c>
      <c r="E24" s="69" t="s">
        <v>88</v>
      </c>
      <c r="F24" s="69" t="s">
        <v>90</v>
      </c>
      <c r="G24" s="72" t="s">
        <v>100</v>
      </c>
      <c r="H24" s="69" t="s">
        <v>91</v>
      </c>
      <c r="I24" s="69" t="s">
        <v>43</v>
      </c>
      <c r="J24" s="73"/>
      <c r="K24" s="65">
        <v>5</v>
      </c>
    </row>
    <row r="25" spans="1:11" ht="57">
      <c r="A25" s="69">
        <v>23</v>
      </c>
      <c r="B25" s="70" t="s">
        <v>209</v>
      </c>
      <c r="C25" s="70" t="s">
        <v>271</v>
      </c>
      <c r="D25" s="70" t="s">
        <v>243</v>
      </c>
      <c r="E25" s="70" t="s">
        <v>88</v>
      </c>
      <c r="F25" s="70" t="s">
        <v>259</v>
      </c>
      <c r="G25" s="70" t="s">
        <v>261</v>
      </c>
      <c r="H25" s="71" t="s">
        <v>297</v>
      </c>
      <c r="I25" s="70" t="s">
        <v>41</v>
      </c>
      <c r="J25" s="73"/>
      <c r="K25" s="65" t="s">
        <v>331</v>
      </c>
    </row>
    <row r="26" spans="1:11">
      <c r="A26" s="69">
        <v>13</v>
      </c>
      <c r="B26" s="69" t="s">
        <v>13</v>
      </c>
      <c r="C26" s="69" t="s">
        <v>94</v>
      </c>
      <c r="D26" s="69" t="s">
        <v>47</v>
      </c>
      <c r="E26" s="69" t="s">
        <v>88</v>
      </c>
      <c r="F26" s="69" t="s">
        <v>93</v>
      </c>
      <c r="G26" s="69" t="s">
        <v>96</v>
      </c>
      <c r="H26" s="69" t="s">
        <v>279</v>
      </c>
      <c r="I26" s="69" t="s">
        <v>43</v>
      </c>
      <c r="J26" s="73"/>
      <c r="K26" s="65">
        <v>1</v>
      </c>
    </row>
    <row r="27" spans="1:11" ht="38">
      <c r="A27" s="69">
        <v>25</v>
      </c>
      <c r="B27" s="70" t="s">
        <v>209</v>
      </c>
      <c r="C27" s="70" t="s">
        <v>284</v>
      </c>
      <c r="D27" s="70" t="s">
        <v>243</v>
      </c>
      <c r="E27" s="70" t="s">
        <v>88</v>
      </c>
      <c r="F27" s="70" t="s">
        <v>272</v>
      </c>
      <c r="G27" s="70" t="s">
        <v>270</v>
      </c>
      <c r="H27" s="71" t="s">
        <v>275</v>
      </c>
      <c r="I27" s="70" t="s">
        <v>41</v>
      </c>
      <c r="J27" s="73"/>
      <c r="K27" s="65" t="s">
        <v>242</v>
      </c>
    </row>
    <row r="28" spans="1:11">
      <c r="A28" s="69">
        <v>14</v>
      </c>
      <c r="B28" s="69" t="s">
        <v>44</v>
      </c>
      <c r="C28" s="69" t="s">
        <v>98</v>
      </c>
      <c r="D28" s="69" t="s">
        <v>74</v>
      </c>
      <c r="E28" s="69" t="s">
        <v>88</v>
      </c>
      <c r="F28" s="69" t="s">
        <v>95</v>
      </c>
      <c r="G28" s="69" t="s">
        <v>97</v>
      </c>
      <c r="H28" s="74"/>
      <c r="I28" s="69" t="s">
        <v>43</v>
      </c>
      <c r="J28" s="73"/>
      <c r="K28" s="65">
        <v>1</v>
      </c>
    </row>
    <row r="29" spans="1:11" ht="38">
      <c r="A29" s="69">
        <v>26</v>
      </c>
      <c r="B29" s="70" t="s">
        <v>209</v>
      </c>
      <c r="C29" s="70" t="s">
        <v>287</v>
      </c>
      <c r="D29" s="70" t="s">
        <v>243</v>
      </c>
      <c r="E29" s="70" t="s">
        <v>88</v>
      </c>
      <c r="F29" s="70" t="s">
        <v>273</v>
      </c>
      <c r="G29" s="70" t="s">
        <v>274</v>
      </c>
      <c r="H29" s="71" t="s">
        <v>275</v>
      </c>
      <c r="I29" s="70" t="s">
        <v>41</v>
      </c>
      <c r="J29" s="73"/>
      <c r="K29" s="65" t="s">
        <v>242</v>
      </c>
    </row>
    <row r="30" spans="1:11">
      <c r="A30" s="69">
        <v>15</v>
      </c>
      <c r="B30" s="69" t="s">
        <v>13</v>
      </c>
      <c r="C30" s="69" t="s">
        <v>101</v>
      </c>
      <c r="D30" s="69" t="s">
        <v>47</v>
      </c>
      <c r="E30" s="69" t="s">
        <v>88</v>
      </c>
      <c r="F30" s="69" t="s">
        <v>99</v>
      </c>
      <c r="G30" s="69" t="s">
        <v>221</v>
      </c>
      <c r="H30" s="69"/>
      <c r="I30" s="69" t="s">
        <v>41</v>
      </c>
      <c r="J30" s="73"/>
      <c r="K30" s="65">
        <v>3</v>
      </c>
    </row>
    <row r="31" spans="1:11" ht="76">
      <c r="A31" s="69">
        <v>24</v>
      </c>
      <c r="B31" s="70" t="s">
        <v>209</v>
      </c>
      <c r="C31" s="70" t="s">
        <v>277</v>
      </c>
      <c r="D31" s="70" t="s">
        <v>243</v>
      </c>
      <c r="E31" s="70" t="s">
        <v>88</v>
      </c>
      <c r="F31" s="70" t="s">
        <v>266</v>
      </c>
      <c r="G31" s="70" t="s">
        <v>267</v>
      </c>
      <c r="H31" s="71" t="s">
        <v>295</v>
      </c>
      <c r="I31" s="70" t="s">
        <v>41</v>
      </c>
      <c r="J31" s="73"/>
      <c r="K31" s="65" t="s">
        <v>333</v>
      </c>
    </row>
    <row r="32" spans="1:11" ht="57">
      <c r="A32" s="69">
        <v>16</v>
      </c>
      <c r="B32" s="70" t="s">
        <v>44</v>
      </c>
      <c r="C32" s="70" t="s">
        <v>245</v>
      </c>
      <c r="D32" s="70" t="s">
        <v>47</v>
      </c>
      <c r="E32" s="70" t="s">
        <v>88</v>
      </c>
      <c r="F32" s="70" t="s">
        <v>280</v>
      </c>
      <c r="G32" s="71" t="s">
        <v>282</v>
      </c>
      <c r="H32" s="70"/>
      <c r="I32" s="70" t="s">
        <v>41</v>
      </c>
      <c r="J32" s="73"/>
      <c r="K32" s="65">
        <v>2</v>
      </c>
    </row>
    <row r="33" spans="1:11" ht="76">
      <c r="A33" s="69">
        <v>27</v>
      </c>
      <c r="B33" s="70" t="s">
        <v>209</v>
      </c>
      <c r="C33" s="70" t="s">
        <v>305</v>
      </c>
      <c r="D33" s="70" t="s">
        <v>243</v>
      </c>
      <c r="E33" s="70" t="s">
        <v>88</v>
      </c>
      <c r="F33" s="70" t="s">
        <v>292</v>
      </c>
      <c r="G33" s="71" t="s">
        <v>309</v>
      </c>
      <c r="H33" s="71" t="s">
        <v>299</v>
      </c>
      <c r="I33" s="70" t="s">
        <v>41</v>
      </c>
      <c r="J33" s="73"/>
      <c r="K33" s="65" t="s">
        <v>329</v>
      </c>
    </row>
    <row r="34" spans="1:11" ht="57">
      <c r="A34" s="69">
        <v>17</v>
      </c>
      <c r="B34" s="70" t="s">
        <v>44</v>
      </c>
      <c r="C34" s="70" t="s">
        <v>313</v>
      </c>
      <c r="D34" s="70" t="s">
        <v>47</v>
      </c>
      <c r="E34" s="70" t="s">
        <v>88</v>
      </c>
      <c r="F34" s="70" t="s">
        <v>302</v>
      </c>
      <c r="G34" s="70" t="s">
        <v>303</v>
      </c>
      <c r="H34" s="71" t="s">
        <v>293</v>
      </c>
      <c r="I34" s="70" t="s">
        <v>41</v>
      </c>
      <c r="J34" s="73"/>
      <c r="K34" s="65" t="s">
        <v>329</v>
      </c>
    </row>
    <row r="35" spans="1:11" ht="76">
      <c r="A35" s="69">
        <v>28</v>
      </c>
      <c r="B35" s="70" t="s">
        <v>209</v>
      </c>
      <c r="C35" s="70" t="s">
        <v>312</v>
      </c>
      <c r="D35" s="70" t="s">
        <v>243</v>
      </c>
      <c r="E35" s="70" t="s">
        <v>88</v>
      </c>
      <c r="F35" s="71" t="s">
        <v>306</v>
      </c>
      <c r="G35" s="70" t="s">
        <v>311</v>
      </c>
      <c r="H35" s="71" t="s">
        <v>308</v>
      </c>
      <c r="I35" s="70" t="s">
        <v>41</v>
      </c>
      <c r="J35" s="73"/>
      <c r="K35" s="65" t="s">
        <v>329</v>
      </c>
    </row>
    <row r="36" spans="1:11" ht="38">
      <c r="A36" s="69">
        <v>29</v>
      </c>
      <c r="B36" s="70" t="s">
        <v>209</v>
      </c>
      <c r="C36" s="70" t="s">
        <v>320</v>
      </c>
      <c r="D36" s="70" t="s">
        <v>243</v>
      </c>
      <c r="E36" s="70" t="s">
        <v>142</v>
      </c>
      <c r="F36" s="70" t="s">
        <v>318</v>
      </c>
      <c r="G36" s="71" t="s">
        <v>314</v>
      </c>
      <c r="H36" s="71" t="s">
        <v>316</v>
      </c>
      <c r="I36" s="69" t="s">
        <v>43</v>
      </c>
      <c r="J36" s="73"/>
      <c r="K36" s="65">
        <v>3</v>
      </c>
    </row>
    <row r="37" spans="1:11">
      <c r="A37" s="69">
        <v>30</v>
      </c>
      <c r="B37" s="69" t="s">
        <v>188</v>
      </c>
      <c r="C37" s="69" t="s">
        <v>208</v>
      </c>
      <c r="D37" s="69" t="s">
        <v>47</v>
      </c>
      <c r="E37" s="69" t="s">
        <v>16</v>
      </c>
      <c r="F37" s="69" t="s">
        <v>206</v>
      </c>
      <c r="G37" s="69" t="s">
        <v>207</v>
      </c>
      <c r="H37" s="69"/>
      <c r="I37" s="69" t="s">
        <v>57</v>
      </c>
      <c r="J37" s="73"/>
      <c r="K37" s="65">
        <v>0</v>
      </c>
    </row>
    <row r="38" spans="1:11">
      <c r="A38" s="69">
        <v>31</v>
      </c>
      <c r="B38" s="69" t="s">
        <v>209</v>
      </c>
      <c r="C38" s="69" t="s">
        <v>213</v>
      </c>
      <c r="D38" s="69" t="s">
        <v>47</v>
      </c>
      <c r="E38" s="69" t="s">
        <v>78</v>
      </c>
      <c r="F38" s="69" t="s">
        <v>210</v>
      </c>
      <c r="G38" s="69" t="s">
        <v>211</v>
      </c>
      <c r="H38" s="69" t="s">
        <v>212</v>
      </c>
      <c r="I38" s="69" t="s">
        <v>43</v>
      </c>
      <c r="J38" s="73"/>
      <c r="K38" s="65">
        <v>0</v>
      </c>
    </row>
    <row r="39" spans="1:11">
      <c r="A39" s="69">
        <v>32</v>
      </c>
      <c r="B39" s="69" t="s">
        <v>209</v>
      </c>
      <c r="C39" s="69" t="s">
        <v>216</v>
      </c>
      <c r="D39" s="69" t="s">
        <v>47</v>
      </c>
      <c r="E39" s="69" t="s">
        <v>78</v>
      </c>
      <c r="F39" s="69" t="s">
        <v>214</v>
      </c>
      <c r="G39" s="69" t="s">
        <v>215</v>
      </c>
      <c r="H39" s="69"/>
      <c r="I39" s="69" t="s">
        <v>41</v>
      </c>
      <c r="J39" s="73"/>
      <c r="K39" s="65">
        <v>0</v>
      </c>
    </row>
    <row r="40" spans="1:11">
      <c r="A40" s="69">
        <v>33</v>
      </c>
      <c r="B40" s="69" t="s">
        <v>195</v>
      </c>
      <c r="C40" s="69" t="s">
        <v>218</v>
      </c>
      <c r="D40" s="69" t="s">
        <v>47</v>
      </c>
      <c r="E40" s="69" t="s">
        <v>78</v>
      </c>
      <c r="F40" s="69" t="s">
        <v>217</v>
      </c>
      <c r="G40" s="69" t="s">
        <v>219</v>
      </c>
      <c r="H40" s="69"/>
      <c r="I40" s="69" t="s">
        <v>41</v>
      </c>
      <c r="J40" s="73"/>
      <c r="K40" s="65">
        <v>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AA8F9-AF72-E64C-9A3A-CC7AAC374BEE}">
  <sheetPr codeName="Sheet5"/>
  <dimension ref="A1:K7"/>
  <sheetViews>
    <sheetView workbookViewId="0">
      <selection activeCell="H11" sqref="H11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192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5FA2A-5202-524D-AB6B-3369A5D17988}">
  <sheetPr codeName="Sheet6"/>
  <dimension ref="A1:K7"/>
  <sheetViews>
    <sheetView workbookViewId="0">
      <selection activeCell="H18" sqref="H18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193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4B24A-F7CD-8B48-9EA2-80CDC3CD4BAB}">
  <sheetPr codeName="Sheet7"/>
  <dimension ref="A1:K7"/>
  <sheetViews>
    <sheetView workbookViewId="0">
      <selection activeCell="H14" sqref="H14"/>
    </sheetView>
  </sheetViews>
  <sheetFormatPr baseColWidth="10" defaultRowHeight="18"/>
  <cols>
    <col min="1" max="1" width="5.7109375" customWidth="1"/>
    <col min="2" max="2" width="12.42578125" customWidth="1"/>
    <col min="3" max="3" width="9.28515625" customWidth="1"/>
    <col min="4" max="4" width="11.140625" customWidth="1"/>
    <col min="5" max="5" width="14.140625" customWidth="1"/>
    <col min="6" max="6" width="24.140625" customWidth="1"/>
    <col min="7" max="7" width="82.7109375" customWidth="1"/>
    <col min="8" max="8" width="52.5703125" customWidth="1"/>
    <col min="9" max="9" width="6.85546875" bestFit="1" customWidth="1"/>
    <col min="11" max="11" width="11.28515625" bestFit="1" customWidth="1"/>
  </cols>
  <sheetData>
    <row r="1" spans="1:11" ht="18" customHeight="1">
      <c r="A1" s="123" t="s">
        <v>194</v>
      </c>
      <c r="B1" s="124"/>
      <c r="C1" s="124"/>
      <c r="D1" s="124"/>
      <c r="E1" s="124"/>
      <c r="F1" s="124"/>
      <c r="G1" s="124"/>
      <c r="H1" s="124"/>
      <c r="I1" s="125"/>
    </row>
    <row r="2" spans="1:11" ht="18" customHeight="1">
      <c r="A2" s="126"/>
      <c r="B2" s="127"/>
      <c r="C2" s="127"/>
      <c r="D2" s="127"/>
      <c r="E2" s="127"/>
      <c r="F2" s="127"/>
      <c r="G2" s="127"/>
      <c r="H2" s="127"/>
      <c r="I2" s="128"/>
    </row>
    <row r="3" spans="1:11" ht="18" customHeight="1">
      <c r="A3" s="126"/>
      <c r="B3" s="127"/>
      <c r="C3" s="127"/>
      <c r="D3" s="127"/>
      <c r="E3" s="127"/>
      <c r="F3" s="127"/>
      <c r="G3" s="127"/>
      <c r="H3" s="127"/>
      <c r="I3" s="128"/>
    </row>
    <row r="4" spans="1:11" ht="18" customHeight="1">
      <c r="A4" s="126"/>
      <c r="B4" s="127"/>
      <c r="C4" s="127"/>
      <c r="D4" s="127"/>
      <c r="E4" s="127"/>
      <c r="F4" s="127">
        <v>12</v>
      </c>
      <c r="G4" s="127"/>
      <c r="H4" s="127"/>
      <c r="I4" s="128"/>
    </row>
    <row r="5" spans="1:11" ht="18" customHeight="1">
      <c r="A5" s="129"/>
      <c r="B5" s="130"/>
      <c r="C5" s="130"/>
      <c r="D5" s="130"/>
      <c r="E5" s="130"/>
      <c r="F5" s="130"/>
      <c r="G5" s="130"/>
      <c r="H5" s="130"/>
      <c r="I5" s="131"/>
    </row>
    <row r="7" spans="1:11">
      <c r="A7" s="15" t="s">
        <v>3</v>
      </c>
      <c r="B7" s="15" t="s">
        <v>2</v>
      </c>
      <c r="C7" s="15" t="s">
        <v>0</v>
      </c>
      <c r="D7" s="15" t="s">
        <v>1</v>
      </c>
      <c r="E7" s="15" t="s">
        <v>4</v>
      </c>
      <c r="F7" s="15" t="s">
        <v>6</v>
      </c>
      <c r="G7" s="15" t="s">
        <v>5</v>
      </c>
      <c r="H7" s="15" t="s">
        <v>7</v>
      </c>
      <c r="I7" s="40" t="s">
        <v>30</v>
      </c>
      <c r="J7" s="15" t="s">
        <v>227</v>
      </c>
      <c r="K7" s="15" t="s">
        <v>240</v>
      </c>
    </row>
  </sheetData>
  <mergeCells count="1">
    <mergeCell ref="A1:I5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52</vt:i4>
      </vt:variant>
    </vt:vector>
  </HeadingPairs>
  <TitlesOfParts>
    <vt:vector size="59" baseType="lpstr">
      <vt:lpstr>main</vt:lpstr>
      <vt:lpstr>DB</vt:lpstr>
      <vt:lpstr>sprint</vt:lpstr>
      <vt:lpstr>1sp</vt:lpstr>
      <vt:lpstr>2sp</vt:lpstr>
      <vt:lpstr>3sp</vt:lpstr>
      <vt:lpstr>4sp</vt:lpstr>
      <vt:lpstr>currentCompleteCount</vt:lpstr>
      <vt:lpstr>finalFix</vt:lpstr>
      <vt:lpstr>finalFixDate</vt:lpstr>
      <vt:lpstr>loadById</vt:lpstr>
      <vt:lpstr>loadCate</vt:lpstr>
      <vt:lpstr>loadCheck</vt:lpstr>
      <vt:lpstr>loadContext</vt:lpstr>
      <vt:lpstr>loadDate</vt:lpstr>
      <vt:lpstr>loadFix</vt:lpstr>
      <vt:lpstr>loadHold</vt:lpstr>
      <vt:lpstr>loadId</vt:lpstr>
      <vt:lpstr>loadImportance</vt:lpstr>
      <vt:lpstr>loadNum</vt:lpstr>
      <vt:lpstr>loadRemark</vt:lpstr>
      <vt:lpstr>loadreqId</vt:lpstr>
      <vt:lpstr>loadSecondCate</vt:lpstr>
      <vt:lpstr>loadTitle</vt:lpstr>
      <vt:lpstr>loadType</vt:lpstr>
      <vt:lpstr>loadUser</vt:lpstr>
      <vt:lpstr>removeById</vt:lpstr>
      <vt:lpstr>removeId</vt:lpstr>
      <vt:lpstr>reqCheck</vt:lpstr>
      <vt:lpstr>reqCompleteNum</vt:lpstr>
      <vt:lpstr>reqContext</vt:lpstr>
      <vt:lpstr>reqCount</vt:lpstr>
      <vt:lpstr>reqDate</vt:lpstr>
      <vt:lpstr>reqFix</vt:lpstr>
      <vt:lpstr>reqHold</vt:lpstr>
      <vt:lpstr>reqId</vt:lpstr>
      <vt:lpstr>reqIdCount</vt:lpstr>
      <vt:lpstr>reqImportance</vt:lpstr>
      <vt:lpstr>reqNum</vt:lpstr>
      <vt:lpstr>reqRemark</vt:lpstr>
      <vt:lpstr>reqSecondType</vt:lpstr>
      <vt:lpstr>reqTitle</vt:lpstr>
      <vt:lpstr>reqType</vt:lpstr>
      <vt:lpstr>requirement</vt:lpstr>
      <vt:lpstr>requirements</vt:lpstr>
      <vt:lpstr>reqUser</vt:lpstr>
      <vt:lpstr>sdv</vt:lpstr>
      <vt:lpstr>sprintCompleteCount</vt:lpstr>
      <vt:lpstr>sprintDate</vt:lpstr>
      <vt:lpstr>sprintDB</vt:lpstr>
      <vt:lpstr>'2sp'!sprintList</vt:lpstr>
      <vt:lpstr>'3sp'!sprintList</vt:lpstr>
      <vt:lpstr>'4sp'!sprintList</vt:lpstr>
      <vt:lpstr>sprintList</vt:lpstr>
      <vt:lpstr>'2sp'!sprintList1</vt:lpstr>
      <vt:lpstr>'3sp'!sprintList1</vt:lpstr>
      <vt:lpstr>'4sp'!sprintList1</vt:lpstr>
      <vt:lpstr>sprintList1</vt:lpstr>
      <vt:lpstr>sprintListMain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서 원호</dc:creator>
  <cp:lastModifiedBy>서 원호</cp:lastModifiedBy>
  <dcterms:created xsi:type="dcterms:W3CDTF">2022-01-05T07:31:18Z</dcterms:created>
  <dcterms:modified xsi:type="dcterms:W3CDTF">2022-01-12T12:06:33Z</dcterms:modified>
</cp:coreProperties>
</file>