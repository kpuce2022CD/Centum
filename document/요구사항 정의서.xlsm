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2AEEA7D2-8D5A-5844-90FF-145487E3B7EB}" xr6:coauthVersionLast="47" xr6:coauthVersionMax="47" xr10:uidLastSave="{00000000-0000-0000-0000-000000000000}"/>
  <bookViews>
    <workbookView xWindow="20" yWindow="500" windowWidth="35840" windowHeight="21900" activeTab="2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D3" i="2"/>
  <c r="I3" i="2" s="1"/>
</calcChain>
</file>

<file path=xl/sharedStrings.xml><?xml version="1.0" encoding="utf-8"?>
<sst xmlns="http://schemas.openxmlformats.org/spreadsheetml/2006/main" count="856" uniqueCount="251">
  <si>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</si>
  <si>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</si>
  <si>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</si>
  <si>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</si>
  <si>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</si>
  <si>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</si>
  <si>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</si>
  <si>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</si>
  <si>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</si>
  <si>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</si>
  <si>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</si>
  <si>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</si>
  <si>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</si>
  <si>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</si>
  <si>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</si>
  <si>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</si>
  <si>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</si>
  <si>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</si>
  <si>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</si>
  <si>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</si>
  <si>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</si>
  <si>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</si>
  <si>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</si>
  <si>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</si>
  <si>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</si>
  <si>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</si>
  <si>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</si>
  <si>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</si>
  <si>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</si>
  <si>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</si>
  <si>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</si>
  <si>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</si>
  <si>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</si>
  <si>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</si>
  <si>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</si>
  <si>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</si>
  <si>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</si>
  <si>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</si>
  <si>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</si>
  <si>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</si>
  <si>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</si>
  <si>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</si>
  <si>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</si>
  <si>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</si>
  <si>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</si>
  <si>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</si>
  <si>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</si>
  <si>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</si>
  <si>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</si>
  <si>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</si>
  <si>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</si>
  <si>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</si>
  <si>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</si>
  <si>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</si>
  <si>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</si>
  <si>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</si>
  <si>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</si>
  <si>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</si>
  <si>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</si>
  <si>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</si>
  <si>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</si>
  <si>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</si>
  <si>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</si>
  <si>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</si>
  <si>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</si>
  <si>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</si>
  <si>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</si>
  <si>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</si>
  <si>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</si>
  <si>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</si>
  <si>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</si>
  <si>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</si>
  <si>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</si>
  <si>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</si>
  <si>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</si>
  <si>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</si>
  <si>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</si>
  <si>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</si>
  <si>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</si>
  <si>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</si>
  <si>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</si>
  <si>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</si>
  <si>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</si>
  <si>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</si>
  <si>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</si>
  <si>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</si>
  <si>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</si>
  <si>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</si>
  <si>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</si>
  <si>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</si>
  <si>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</si>
  <si>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</si>
  <si>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</si>
  <si>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</si>
  <si>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</si>
  <si>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</si>
  <si>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</si>
  <si>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</si>
  <si>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</si>
  <si>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</si>
  <si>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</si>
  <si>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</si>
  <si>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</si>
  <si>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</si>
  <si>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</si>
  <si>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</si>
  <si>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</si>
  <si>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</si>
  <si>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</si>
  <si>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</si>
  <si>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</si>
  <si>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</si>
  <si>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</si>
  <si>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</si>
  <si>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</si>
  <si>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</si>
  <si>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</si>
  <si>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</si>
  <si>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</si>
  <si>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</si>
  <si>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</si>
  <si>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</si>
  <si>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</si>
  <si>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</si>
  <si>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</si>
  <si>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</si>
  <si>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</si>
  <si>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</si>
  <si>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</si>
  <si>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</si>
  <si>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</si>
  <si>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</si>
  <si>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</si>
  <si>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</si>
  <si>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</si>
  <si>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</si>
  <si>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</si>
  <si>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</si>
  <si>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</si>
  <si>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</si>
  <si>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</si>
  <si>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</si>
  <si>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</si>
  <si>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</si>
  <si>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</si>
  <si>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</si>
  <si>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</si>
  <si>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</si>
  <si>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</si>
  <si>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</si>
  <si>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</si>
  <si>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</si>
  <si>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</si>
  <si>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</si>
  <si>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</si>
  <si>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</si>
  <si>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</si>
  <si>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</si>
  <si>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</si>
  <si>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</si>
  <si>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</si>
  <si>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</si>
  <si>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</si>
  <si>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</si>
  <si>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</si>
  <si>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</si>
  <si>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</si>
  <si>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</si>
  <si>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</si>
  <si>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</si>
  <si>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R-034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</si>
  <si>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</si>
  <si>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</si>
  <si>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</si>
  <si>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</si>
  <si>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</si>
  <si>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</si>
  <si>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</si>
  <si>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</si>
  <si>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</si>
  <si>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</si>
  <si>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</si>
  <si>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답글 수정</t>
  </si>
  <si>
    <t>작성된 댓글에서 답글 버튼 클릭 시 답글을 작성할 수 있도록 함</t>
    <phoneticPr fontId="2" type="noConversion"/>
  </si>
  <si>
    <t>R-038</t>
  </si>
  <si>
    <t>게시글 추천 취소</t>
  </si>
  <si>
    <t>게시글에 추천이 되었을 때 다시 클릭하면 추천이 취소되도록 함</t>
  </si>
  <si>
    <t>게시글에서 추천 버튼 클릭 시 추천 수가 올라가도록 하며, 사용자는 한 게시글 당 1개의 추천만 할 수 있도록 함, 또 각 사용자에게 각 게시글 마다 추천 여부를 확인할 수 있도록 함</t>
    <phoneticPr fontId="2" type="noConversion"/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</si>
  <si>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</si>
  <si>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</si>
  <si>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</si>
  <si>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</si>
  <si>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</si>
  <si>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</si>
  <si>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</si>
  <si>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</si>
  <si>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</si>
  <si>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</si>
  <si>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</si>
  <si>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</si>
  <si>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</si>
  <si>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</si>
  <si>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</si>
  <si>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</si>
  <si>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</si>
  <si>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</si>
  <si>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</si>
  <si>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</si>
  <si>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</si>
  <si>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</si>
  <si>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</si>
  <si>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</si>
  <si>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</si>
  <si>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</si>
  <si>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</si>
  <si>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</si>
  <si>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</si>
  <si>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</si>
  <si>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</si>
  <si>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</si>
  <si>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</si>
  <si>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</si>
  <si>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DB 보안</t>
    <phoneticPr fontId="2" type="noConversion"/>
  </si>
  <si>
    <t>R-045</t>
  </si>
  <si>
    <t>사용자 정보, 패스워드 등은 소스코드에 직접 하드코딩하지 않음</t>
    <phoneticPr fontId="2" type="noConversion"/>
  </si>
  <si>
    <t>v1.1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</si>
  <si>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</si>
  <si>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</si>
  <si>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</si>
  <si>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</si>
  <si>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</si>
  <si>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</si>
  <si>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</si>
  <si>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제약사항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</si>
  <si>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</si>
  <si>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</si>
  <si>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</si>
  <si>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</si>
  <si>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</si>
  <si>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</si>
  <si>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</si>
  <si>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</si>
  <si>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</si>
  <si>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</si>
  <si>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</si>
  <si>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개발 기간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</si>
  <si>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</si>
  <si>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</si>
  <si>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개발기간(일)</t>
    <phoneticPr fontId="2" type="noConversion"/>
  </si>
  <si>
    <t>&lt;1</t>
  </si>
  <si>
    <t>&lt;1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</si>
</sst>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6" fontId="0" fillId="0" borderId="30" xfId="0" applyNumberFormat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30" xfId="0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 wrapText="1"/>
      <protection locked="0"/>
    </xf>
    <xf numFmtId="0" fontId="0" fillId="0" borderId="30" xfId="0" applyBorder="1" applyAlignment="1" applyProtection="1">
      <alignment horizontal="center" vertical="center" wrapText="1"/>
      <protection locked="0"/>
    </xf>
    <xf numFmtId="176" fontId="5" fillId="0" borderId="30" xfId="0" applyNumberFormat="1" applyFont="1" applyBorder="1" applyAlignment="1" applyProtection="1">
      <alignment horizontal="center" vertical="center"/>
      <protection locked="0"/>
    </xf>
    <xf numFmtId="0" fontId="5" fillId="0" borderId="30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0" fillId="0" borderId="31" xfId="0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825500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65"/>
  <sheetViews>
    <sheetView showGridLines="0" workbookViewId="0">
      <selection activeCell="G4" sqref="G4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79" t="s">
        <v>29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1"/>
    </row>
    <row r="2" spans="1:15" ht="18" customHeight="1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4"/>
    </row>
    <row r="3" spans="1:15" ht="18" customHeight="1">
      <c r="A3" s="85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7"/>
      <c r="O3" s="35"/>
    </row>
    <row r="4" spans="1:15">
      <c r="A4" s="18" t="s">
        <v>31</v>
      </c>
      <c r="B4" s="17" t="s">
        <v>225</v>
      </c>
      <c r="C4" s="18" t="s">
        <v>8</v>
      </c>
      <c r="D4" s="17" t="s">
        <v>32</v>
      </c>
      <c r="E4" s="18" t="s">
        <v>33</v>
      </c>
      <c r="F4" s="16">
        <v>44571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35"/>
      <c r="N5" s="19"/>
      <c r="O5" s="35"/>
    </row>
    <row r="6" spans="1:15">
      <c r="A6" s="88" t="s">
        <v>38</v>
      </c>
      <c r="B6" s="89"/>
      <c r="C6" s="89"/>
      <c r="D6" s="90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91"/>
      <c r="B7" s="92"/>
      <c r="C7" s="92"/>
      <c r="D7" s="93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19">
      <c r="A9" s="37"/>
      <c r="B9" s="22" t="s">
        <v>233</v>
      </c>
      <c r="C9" s="37"/>
      <c r="D9" s="22" t="s">
        <v>47</v>
      </c>
      <c r="E9" s="22" t="s">
        <v>78</v>
      </c>
      <c r="F9" s="22" t="s">
        <v>222</v>
      </c>
      <c r="G9" s="26" t="s">
        <v>224</v>
      </c>
      <c r="H9" s="26"/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94" t="s">
        <v>39</v>
      </c>
      <c r="B11" s="94"/>
      <c r="C11" s="94"/>
      <c r="D11" s="94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94"/>
      <c r="B12" s="94"/>
      <c r="C12" s="94"/>
      <c r="D12" s="94"/>
      <c r="E12" s="22" t="s">
        <v>170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88" t="s">
        <v>40</v>
      </c>
      <c r="B14" s="89"/>
      <c r="C14" s="89"/>
      <c r="D14" s="90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91"/>
      <c r="B15" s="92"/>
      <c r="C15" s="92"/>
      <c r="D15" s="93"/>
      <c r="E15" s="22" t="s">
        <v>237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237</v>
      </c>
      <c r="D17" s="22" t="s">
        <v>17</v>
      </c>
      <c r="E17" s="22" t="s">
        <v>16</v>
      </c>
      <c r="F17" s="22" t="s">
        <v>238</v>
      </c>
      <c r="G17" s="22" t="s">
        <v>239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95" t="s">
        <v>21</v>
      </c>
      <c r="B19" s="96"/>
      <c r="C19" s="96"/>
      <c r="D19" s="96"/>
      <c r="E19" s="96"/>
      <c r="F19" s="97"/>
      <c r="G19" s="78" t="s">
        <v>22</v>
      </c>
      <c r="H19" s="78"/>
      <c r="I19" s="78" t="s">
        <v>23</v>
      </c>
      <c r="J19" s="78"/>
      <c r="K19" s="78" t="s">
        <v>11</v>
      </c>
      <c r="L19" s="78"/>
      <c r="M19" s="78"/>
      <c r="N19" s="21" t="s">
        <v>30</v>
      </c>
      <c r="O19" s="54" t="s">
        <v>234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5" t="s">
        <v>234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6" t="s">
        <v>41</v>
      </c>
      <c r="O21" s="59"/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7" t="s">
        <v>54</v>
      </c>
      <c r="O22" s="60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7" t="s">
        <v>57</v>
      </c>
      <c r="O23" s="60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7" t="s">
        <v>57</v>
      </c>
      <c r="O24" s="60"/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7" t="s">
        <v>43</v>
      </c>
      <c r="O25" s="60"/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7" t="s">
        <v>57</v>
      </c>
      <c r="O26" s="60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7" t="s">
        <v>57</v>
      </c>
      <c r="O27" s="60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7" t="s">
        <v>43</v>
      </c>
      <c r="O28" s="60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7" t="s">
        <v>57</v>
      </c>
      <c r="O29" s="60"/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7" t="s">
        <v>54</v>
      </c>
      <c r="O30" s="60"/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226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7" t="s">
        <v>43</v>
      </c>
      <c r="O31" s="60"/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7" t="s">
        <v>43</v>
      </c>
      <c r="O32" s="60"/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2"/>
      <c r="I33" s="25" t="s">
        <v>51</v>
      </c>
      <c r="J33" s="30">
        <v>44567</v>
      </c>
      <c r="K33" s="25"/>
      <c r="L33" s="25"/>
      <c r="M33" s="25"/>
      <c r="N33" s="57" t="s">
        <v>43</v>
      </c>
      <c r="O33" s="60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3"/>
      <c r="I34" s="25" t="s">
        <v>51</v>
      </c>
      <c r="J34" s="30">
        <v>44567</v>
      </c>
      <c r="K34" s="25"/>
      <c r="L34" s="25"/>
      <c r="M34" s="25"/>
      <c r="N34" s="57" t="s">
        <v>43</v>
      </c>
      <c r="O34" s="60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227</v>
      </c>
      <c r="H35" s="25"/>
      <c r="I35" s="25" t="s">
        <v>51</v>
      </c>
      <c r="J35" s="30">
        <v>44567</v>
      </c>
      <c r="K35" s="25"/>
      <c r="L35" s="25"/>
      <c r="M35" s="25"/>
      <c r="N35" s="57" t="s">
        <v>41</v>
      </c>
      <c r="O35" s="60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7" t="s">
        <v>41</v>
      </c>
      <c r="O36" s="60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129" t="s">
        <v>41</v>
      </c>
      <c r="O37" s="60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7" t="s">
        <v>41</v>
      </c>
      <c r="O38" s="60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7" t="s">
        <v>41</v>
      </c>
      <c r="O39" s="60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7" t="s">
        <v>41</v>
      </c>
      <c r="O40" s="60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7" t="s">
        <v>41</v>
      </c>
      <c r="O41" s="60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183</v>
      </c>
      <c r="H42" s="25"/>
      <c r="I42" s="25" t="s">
        <v>51</v>
      </c>
      <c r="J42" s="30">
        <v>44567</v>
      </c>
      <c r="K42" s="25"/>
      <c r="L42" s="25"/>
      <c r="M42" s="25"/>
      <c r="N42" s="57" t="s">
        <v>57</v>
      </c>
      <c r="O42" s="60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187</v>
      </c>
      <c r="H43" s="25"/>
      <c r="I43" s="25" t="s">
        <v>51</v>
      </c>
      <c r="J43" s="30">
        <v>44567</v>
      </c>
      <c r="K43" s="25"/>
      <c r="L43" s="25"/>
      <c r="M43" s="25"/>
      <c r="N43" s="57" t="s">
        <v>57</v>
      </c>
      <c r="O43" s="60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7" t="s">
        <v>57</v>
      </c>
      <c r="O44" s="60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7" t="s">
        <v>43</v>
      </c>
      <c r="O45" s="60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7" t="s">
        <v>41</v>
      </c>
      <c r="O46" s="60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7" t="s">
        <v>41</v>
      </c>
      <c r="O47" s="60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7" t="s">
        <v>41</v>
      </c>
      <c r="O48" s="60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7" t="s">
        <v>41</v>
      </c>
      <c r="O49" s="60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7" t="s">
        <v>57</v>
      </c>
      <c r="O50" s="60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202</v>
      </c>
      <c r="H51" s="31" t="s">
        <v>203</v>
      </c>
      <c r="I51" s="25" t="s">
        <v>51</v>
      </c>
      <c r="J51" s="30">
        <v>44567</v>
      </c>
      <c r="K51" s="25"/>
      <c r="L51" s="25"/>
      <c r="M51" s="25"/>
      <c r="N51" s="57" t="s">
        <v>41</v>
      </c>
      <c r="O51" s="60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205</v>
      </c>
      <c r="I52" s="25" t="s">
        <v>51</v>
      </c>
      <c r="J52" s="30">
        <v>44567</v>
      </c>
      <c r="K52" s="25"/>
      <c r="L52" s="25"/>
      <c r="M52" s="25"/>
      <c r="N52" s="57" t="s">
        <v>41</v>
      </c>
      <c r="O52" s="60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204</v>
      </c>
      <c r="I53" s="25" t="s">
        <v>51</v>
      </c>
      <c r="J53" s="30">
        <v>44567</v>
      </c>
      <c r="K53" s="25"/>
      <c r="L53" s="25"/>
      <c r="M53" s="25"/>
      <c r="N53" s="57" t="s">
        <v>43</v>
      </c>
      <c r="O53" s="60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7" t="s">
        <v>41</v>
      </c>
      <c r="O54" s="60"/>
    </row>
    <row r="55" spans="1:15">
      <c r="A55" s="29">
        <v>35</v>
      </c>
      <c r="B55" s="25" t="s">
        <v>44</v>
      </c>
      <c r="C55" s="25" t="s">
        <v>173</v>
      </c>
      <c r="D55" s="25" t="s">
        <v>47</v>
      </c>
      <c r="E55" s="25" t="s">
        <v>102</v>
      </c>
      <c r="F55" s="25" t="s">
        <v>171</v>
      </c>
      <c r="G55" s="25" t="s">
        <v>172</v>
      </c>
      <c r="H55" s="25"/>
      <c r="I55" s="25" t="s">
        <v>51</v>
      </c>
      <c r="J55" s="30">
        <v>44567</v>
      </c>
      <c r="K55" s="25"/>
      <c r="L55" s="25"/>
      <c r="M55" s="25"/>
      <c r="N55" s="57" t="s">
        <v>41</v>
      </c>
      <c r="O55" s="60"/>
    </row>
    <row r="56" spans="1:15">
      <c r="A56" s="29">
        <v>36</v>
      </c>
      <c r="B56" s="25" t="s">
        <v>44</v>
      </c>
      <c r="C56" s="25" t="s">
        <v>178</v>
      </c>
      <c r="D56" s="25" t="s">
        <v>47</v>
      </c>
      <c r="E56" s="25" t="s">
        <v>102</v>
      </c>
      <c r="F56" s="25" t="s">
        <v>174</v>
      </c>
      <c r="G56" s="25" t="s">
        <v>176</v>
      </c>
      <c r="H56" s="25" t="s">
        <v>177</v>
      </c>
      <c r="I56" s="25" t="s">
        <v>51</v>
      </c>
      <c r="J56" s="30">
        <v>44567</v>
      </c>
      <c r="K56" s="25"/>
      <c r="L56" s="25"/>
      <c r="M56" s="25"/>
      <c r="N56" s="57" t="s">
        <v>41</v>
      </c>
      <c r="O56" s="60"/>
    </row>
    <row r="57" spans="1:15">
      <c r="A57" s="29">
        <v>37</v>
      </c>
      <c r="B57" s="25" t="s">
        <v>44</v>
      </c>
      <c r="C57" s="25" t="s">
        <v>181</v>
      </c>
      <c r="D57" s="25" t="s">
        <v>47</v>
      </c>
      <c r="E57" s="25" t="s">
        <v>102</v>
      </c>
      <c r="F57" s="25" t="s">
        <v>179</v>
      </c>
      <c r="G57" s="25" t="s">
        <v>180</v>
      </c>
      <c r="H57" s="25"/>
      <c r="I57" s="25" t="s">
        <v>51</v>
      </c>
      <c r="J57" s="30">
        <v>44567</v>
      </c>
      <c r="K57" s="25"/>
      <c r="L57" s="25"/>
      <c r="M57" s="25"/>
      <c r="N57" s="57" t="s">
        <v>41</v>
      </c>
      <c r="O57" s="60"/>
    </row>
    <row r="58" spans="1:15">
      <c r="A58" s="29">
        <v>38</v>
      </c>
      <c r="B58" s="25" t="s">
        <v>44</v>
      </c>
      <c r="C58" s="25" t="s">
        <v>184</v>
      </c>
      <c r="D58" s="25" t="s">
        <v>47</v>
      </c>
      <c r="E58" s="25" t="s">
        <v>102</v>
      </c>
      <c r="F58" s="25" t="s">
        <v>182</v>
      </c>
      <c r="G58" s="25" t="s">
        <v>175</v>
      </c>
      <c r="H58" s="25" t="s">
        <v>177</v>
      </c>
      <c r="I58" s="25" t="s">
        <v>51</v>
      </c>
      <c r="J58" s="30">
        <v>44567</v>
      </c>
      <c r="K58" s="25"/>
      <c r="L58" s="25"/>
      <c r="M58" s="25"/>
      <c r="N58" s="57" t="s">
        <v>41</v>
      </c>
      <c r="O58" s="60"/>
    </row>
    <row r="59" spans="1:15">
      <c r="A59" s="29">
        <v>39</v>
      </c>
      <c r="B59" s="25" t="s">
        <v>44</v>
      </c>
      <c r="C59" s="25" t="s">
        <v>188</v>
      </c>
      <c r="D59" s="25" t="s">
        <v>47</v>
      </c>
      <c r="E59" s="25" t="s">
        <v>102</v>
      </c>
      <c r="F59" s="25" t="s">
        <v>185</v>
      </c>
      <c r="G59" s="25" t="s">
        <v>186</v>
      </c>
      <c r="H59" s="25"/>
      <c r="I59" s="25" t="s">
        <v>51</v>
      </c>
      <c r="J59" s="30">
        <v>44567</v>
      </c>
      <c r="K59" s="25"/>
      <c r="L59" s="25"/>
      <c r="M59" s="25"/>
      <c r="N59" s="57" t="s">
        <v>41</v>
      </c>
      <c r="O59" s="60"/>
    </row>
    <row r="60" spans="1:15" ht="38">
      <c r="A60" s="29">
        <v>40</v>
      </c>
      <c r="B60" s="25" t="s">
        <v>44</v>
      </c>
      <c r="C60" s="25" t="s">
        <v>191</v>
      </c>
      <c r="D60" s="25" t="s">
        <v>47</v>
      </c>
      <c r="E60" s="25" t="s">
        <v>102</v>
      </c>
      <c r="F60" s="25" t="s">
        <v>189</v>
      </c>
      <c r="G60" s="31" t="s">
        <v>190</v>
      </c>
      <c r="H60" s="25"/>
      <c r="I60" s="25" t="s">
        <v>51</v>
      </c>
      <c r="J60" s="30">
        <v>44567</v>
      </c>
      <c r="K60" s="25"/>
      <c r="L60" s="25"/>
      <c r="M60" s="25"/>
      <c r="N60" s="57" t="s">
        <v>41</v>
      </c>
      <c r="O60" s="60"/>
    </row>
    <row r="61" spans="1:15">
      <c r="A61" s="29">
        <v>41</v>
      </c>
      <c r="B61" s="25" t="s">
        <v>192</v>
      </c>
      <c r="C61" s="25" t="s">
        <v>209</v>
      </c>
      <c r="D61" s="25" t="s">
        <v>47</v>
      </c>
      <c r="E61" s="25" t="s">
        <v>16</v>
      </c>
      <c r="F61" s="25" t="s">
        <v>206</v>
      </c>
      <c r="G61" s="25" t="s">
        <v>207</v>
      </c>
      <c r="H61" s="25" t="s">
        <v>208</v>
      </c>
      <c r="I61" s="25" t="s">
        <v>51</v>
      </c>
      <c r="J61" s="30">
        <v>44571</v>
      </c>
      <c r="K61" s="25"/>
      <c r="L61" s="25"/>
      <c r="M61" s="25"/>
      <c r="N61" s="57" t="s">
        <v>41</v>
      </c>
      <c r="O61" s="60"/>
    </row>
    <row r="62" spans="1:15">
      <c r="A62" s="29">
        <v>42</v>
      </c>
      <c r="B62" s="25" t="s">
        <v>192</v>
      </c>
      <c r="C62" s="25" t="s">
        <v>212</v>
      </c>
      <c r="D62" s="25" t="s">
        <v>47</v>
      </c>
      <c r="E62" s="25" t="s">
        <v>16</v>
      </c>
      <c r="F62" s="25" t="s">
        <v>210</v>
      </c>
      <c r="G62" s="25" t="s">
        <v>211</v>
      </c>
      <c r="H62" s="25"/>
      <c r="I62" s="25" t="s">
        <v>51</v>
      </c>
      <c r="J62" s="30">
        <v>44571</v>
      </c>
      <c r="K62" s="25"/>
      <c r="L62" s="25"/>
      <c r="M62" s="25"/>
      <c r="N62" s="57" t="s">
        <v>57</v>
      </c>
      <c r="O62" s="60"/>
    </row>
    <row r="63" spans="1:15">
      <c r="A63" s="29">
        <v>43</v>
      </c>
      <c r="B63" s="25" t="s">
        <v>213</v>
      </c>
      <c r="C63" s="25" t="s">
        <v>217</v>
      </c>
      <c r="D63" s="25" t="s">
        <v>47</v>
      </c>
      <c r="E63" s="25" t="s">
        <v>78</v>
      </c>
      <c r="F63" s="25" t="s">
        <v>214</v>
      </c>
      <c r="G63" s="25" t="s">
        <v>215</v>
      </c>
      <c r="H63" s="25" t="s">
        <v>216</v>
      </c>
      <c r="I63" s="25" t="s">
        <v>51</v>
      </c>
      <c r="J63" s="30">
        <v>44571</v>
      </c>
      <c r="K63" s="25"/>
      <c r="L63" s="25"/>
      <c r="M63" s="25"/>
      <c r="N63" s="57" t="s">
        <v>43</v>
      </c>
      <c r="O63" s="60"/>
    </row>
    <row r="64" spans="1:15">
      <c r="A64" s="29">
        <v>44</v>
      </c>
      <c r="B64" s="25" t="s">
        <v>213</v>
      </c>
      <c r="C64" s="25" t="s">
        <v>220</v>
      </c>
      <c r="D64" s="25" t="s">
        <v>47</v>
      </c>
      <c r="E64" s="25" t="s">
        <v>78</v>
      </c>
      <c r="F64" s="25" t="s">
        <v>218</v>
      </c>
      <c r="G64" s="25" t="s">
        <v>219</v>
      </c>
      <c r="H64" s="25"/>
      <c r="I64" s="25" t="s">
        <v>51</v>
      </c>
      <c r="J64" s="30">
        <v>44571</v>
      </c>
      <c r="K64" s="25"/>
      <c r="L64" s="25"/>
      <c r="M64" s="25"/>
      <c r="N64" s="57" t="s">
        <v>41</v>
      </c>
      <c r="O64" s="60"/>
    </row>
    <row r="65" spans="1:15">
      <c r="A65" s="32">
        <v>45</v>
      </c>
      <c r="B65" s="24" t="s">
        <v>199</v>
      </c>
      <c r="C65" s="24" t="s">
        <v>223</v>
      </c>
      <c r="D65" s="24" t="s">
        <v>47</v>
      </c>
      <c r="E65" s="24" t="s">
        <v>78</v>
      </c>
      <c r="F65" s="24" t="s">
        <v>221</v>
      </c>
      <c r="G65" s="24" t="s">
        <v>224</v>
      </c>
      <c r="H65" s="24"/>
      <c r="I65" s="24" t="s">
        <v>51</v>
      </c>
      <c r="J65" s="33">
        <v>44571</v>
      </c>
      <c r="K65" s="24"/>
      <c r="L65" s="24"/>
      <c r="M65" s="24"/>
      <c r="N65" s="58" t="s">
        <v>41</v>
      </c>
      <c r="O65" s="61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I6" sqref="I6"/>
    </sheetView>
  </sheetViews>
  <sheetFormatPr baseColWidth="10" defaultRowHeight="18"/>
  <cols>
    <col min="7" max="7" width="11.140625" style="69" bestFit="1" customWidth="1"/>
    <col min="8" max="9" width="10.7109375" style="68"/>
  </cols>
  <sheetData>
    <row r="1" spans="1:9">
      <c r="A1" s="98" t="s">
        <v>21</v>
      </c>
      <c r="B1" s="98"/>
      <c r="C1" s="98"/>
      <c r="D1" s="99" t="s">
        <v>5</v>
      </c>
      <c r="E1" s="100"/>
      <c r="F1" s="101"/>
      <c r="G1" s="102" t="s">
        <v>240</v>
      </c>
      <c r="H1" s="103"/>
      <c r="I1" s="104"/>
    </row>
    <row r="2" spans="1:9">
      <c r="A2" s="10" t="s">
        <v>2</v>
      </c>
      <c r="B2" s="11" t="s">
        <v>1</v>
      </c>
      <c r="C2" s="12" t="s">
        <v>4</v>
      </c>
      <c r="D2" s="62" t="s">
        <v>235</v>
      </c>
      <c r="E2" s="62" t="s">
        <v>236</v>
      </c>
      <c r="F2" s="65" t="s">
        <v>242</v>
      </c>
      <c r="G2" s="67" t="s">
        <v>243</v>
      </c>
      <c r="H2" s="64" t="s">
        <v>241</v>
      </c>
      <c r="I2" s="64" t="s">
        <v>244</v>
      </c>
    </row>
    <row r="3" spans="1:9">
      <c r="A3" s="1" t="s">
        <v>13</v>
      </c>
      <c r="B3" s="2" t="s">
        <v>17</v>
      </c>
      <c r="C3" s="3" t="s">
        <v>16</v>
      </c>
      <c r="D3" s="63">
        <f>COUNT(reqNum)</f>
        <v>45</v>
      </c>
      <c r="E3" s="63">
        <v>45</v>
      </c>
      <c r="F3" s="66">
        <f>COUNTA(reqCompleteNum)</f>
        <v>0</v>
      </c>
      <c r="G3" s="69">
        <v>44572</v>
      </c>
      <c r="H3" s="68">
        <v>0</v>
      </c>
      <c r="I3" s="70">
        <f>reqCount-H3</f>
        <v>45</v>
      </c>
    </row>
    <row r="4" spans="1:9">
      <c r="A4" s="4" t="s">
        <v>25</v>
      </c>
      <c r="B4" s="5" t="s">
        <v>14</v>
      </c>
      <c r="C4" s="6" t="s">
        <v>37</v>
      </c>
      <c r="I4" s="70"/>
    </row>
    <row r="5" spans="1:9">
      <c r="A5" s="4" t="s">
        <v>26</v>
      </c>
      <c r="B5" s="8" t="s">
        <v>15</v>
      </c>
      <c r="C5" s="6" t="s">
        <v>18</v>
      </c>
      <c r="I5" s="70"/>
    </row>
    <row r="6" spans="1:9">
      <c r="A6" s="4" t="s">
        <v>27</v>
      </c>
      <c r="C6" s="6" t="s">
        <v>19</v>
      </c>
      <c r="I6" s="70"/>
    </row>
    <row r="7" spans="1:9">
      <c r="A7" s="4" t="s">
        <v>200</v>
      </c>
      <c r="C7" s="6" t="s">
        <v>36</v>
      </c>
      <c r="I7" s="70"/>
    </row>
    <row r="8" spans="1:9">
      <c r="A8" s="4" t="s">
        <v>201</v>
      </c>
      <c r="C8" s="6" t="s">
        <v>20</v>
      </c>
      <c r="I8" s="70"/>
    </row>
    <row r="9" spans="1:9">
      <c r="A9" s="7" t="s">
        <v>28</v>
      </c>
      <c r="C9" s="6" t="s">
        <v>34</v>
      </c>
      <c r="I9" s="70"/>
    </row>
    <row r="10" spans="1:9">
      <c r="C10" s="6" t="s">
        <v>35</v>
      </c>
      <c r="I10" s="70"/>
    </row>
    <row r="11" spans="1:9">
      <c r="C11" s="9" t="s">
        <v>28</v>
      </c>
      <c r="I11" s="70"/>
    </row>
    <row r="12" spans="1:9">
      <c r="I12" s="70"/>
    </row>
    <row r="13" spans="1:9">
      <c r="I13" s="70"/>
    </row>
    <row r="14" spans="1:9">
      <c r="I14" s="70"/>
    </row>
    <row r="15" spans="1:9">
      <c r="I15" s="70"/>
    </row>
    <row r="16" spans="1:9">
      <c r="I16" s="70"/>
    </row>
    <row r="17" spans="9:9">
      <c r="I17" s="70"/>
    </row>
    <row r="18" spans="9:9">
      <c r="I18" s="70"/>
    </row>
    <row r="19" spans="9:9">
      <c r="I19" s="70"/>
    </row>
    <row r="20" spans="9:9">
      <c r="I20" s="70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26"/>
  <sheetViews>
    <sheetView tabSelected="1" workbookViewId="0">
      <selection activeCell="H16" sqref="H16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0" width="10.7109375" customWidth="1"/>
    <col min="11" max="11" width="11.28515625" bestFit="1" customWidth="1"/>
    <col min="12" max="18" width="10.7109375" customWidth="1"/>
  </cols>
  <sheetData>
    <row r="1" spans="1:14" ht="20" customHeight="1">
      <c r="A1" s="105" t="s">
        <v>193</v>
      </c>
      <c r="B1" s="106"/>
      <c r="C1" s="106"/>
      <c r="D1" s="106"/>
      <c r="E1" s="106"/>
      <c r="F1" s="106"/>
      <c r="G1" s="106"/>
      <c r="H1" s="106"/>
      <c r="I1" s="107"/>
      <c r="J1" s="114" t="s">
        <v>194</v>
      </c>
      <c r="K1" s="115"/>
      <c r="L1" s="116"/>
      <c r="N1" s="41"/>
    </row>
    <row r="2" spans="1:14" ht="18" customHeight="1">
      <c r="A2" s="108"/>
      <c r="B2" s="109"/>
      <c r="C2" s="109"/>
      <c r="D2" s="109"/>
      <c r="E2" s="109"/>
      <c r="F2" s="109"/>
      <c r="G2" s="109"/>
      <c r="H2" s="109"/>
      <c r="I2" s="110"/>
      <c r="J2" s="117"/>
      <c r="K2" s="118"/>
      <c r="L2" s="119"/>
      <c r="N2" s="41"/>
    </row>
    <row r="3" spans="1:14" ht="18" customHeight="1">
      <c r="A3" s="108"/>
      <c r="B3" s="109"/>
      <c r="C3" s="109"/>
      <c r="D3" s="109"/>
      <c r="E3" s="109"/>
      <c r="F3" s="109"/>
      <c r="G3" s="109"/>
      <c r="H3" s="109"/>
      <c r="I3" s="110"/>
      <c r="J3" s="42"/>
      <c r="K3" s="43"/>
      <c r="L3" s="44"/>
      <c r="N3" s="41"/>
    </row>
    <row r="4" spans="1:14" ht="18" customHeight="1">
      <c r="A4" s="108"/>
      <c r="B4" s="109"/>
      <c r="C4" s="109"/>
      <c r="D4" s="109"/>
      <c r="E4" s="109"/>
      <c r="F4" s="109">
        <v>12</v>
      </c>
      <c r="G4" s="109"/>
      <c r="H4" s="109"/>
      <c r="I4" s="110"/>
      <c r="J4" s="45"/>
      <c r="K4" s="46"/>
      <c r="L4" s="47"/>
      <c r="N4" s="41"/>
    </row>
    <row r="5" spans="1:14" ht="18" customHeight="1">
      <c r="A5" s="111"/>
      <c r="B5" s="112"/>
      <c r="C5" s="112"/>
      <c r="D5" s="112"/>
      <c r="E5" s="112"/>
      <c r="F5" s="112"/>
      <c r="G5" s="112"/>
      <c r="H5" s="112"/>
      <c r="I5" s="113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248</v>
      </c>
      <c r="N7" s="41"/>
    </row>
    <row r="8" spans="1:14">
      <c r="A8" s="68">
        <v>1</v>
      </c>
      <c r="B8" s="68" t="s">
        <v>44</v>
      </c>
      <c r="C8" s="68" t="s">
        <v>45</v>
      </c>
      <c r="D8" s="68" t="s">
        <v>47</v>
      </c>
      <c r="E8" s="68" t="s">
        <v>48</v>
      </c>
      <c r="F8" s="68" t="s">
        <v>48</v>
      </c>
      <c r="G8" s="68" t="s">
        <v>50</v>
      </c>
      <c r="H8" s="68"/>
      <c r="I8" s="68" t="s">
        <v>41</v>
      </c>
      <c r="J8" s="68"/>
      <c r="K8" s="68">
        <v>1</v>
      </c>
    </row>
    <row r="9" spans="1:14">
      <c r="A9" s="68">
        <v>2</v>
      </c>
      <c r="B9" s="68" t="s">
        <v>44</v>
      </c>
      <c r="C9" s="68" t="s">
        <v>42</v>
      </c>
      <c r="D9" s="68" t="s">
        <v>47</v>
      </c>
      <c r="E9" s="68" t="s">
        <v>48</v>
      </c>
      <c r="F9" s="68" t="s">
        <v>52</v>
      </c>
      <c r="G9" s="68" t="s">
        <v>53</v>
      </c>
      <c r="H9" s="68"/>
      <c r="I9" s="68" t="s">
        <v>54</v>
      </c>
      <c r="J9" s="68"/>
      <c r="K9" s="68" t="s">
        <v>249</v>
      </c>
    </row>
    <row r="10" spans="1:14">
      <c r="A10" s="68">
        <v>3</v>
      </c>
      <c r="B10" s="68" t="s">
        <v>44</v>
      </c>
      <c r="C10" s="68" t="s">
        <v>46</v>
      </c>
      <c r="D10" s="68" t="s">
        <v>47</v>
      </c>
      <c r="E10" s="68" t="s">
        <v>48</v>
      </c>
      <c r="F10" s="68" t="s">
        <v>55</v>
      </c>
      <c r="G10" s="68" t="s">
        <v>60</v>
      </c>
      <c r="H10" s="68" t="s">
        <v>56</v>
      </c>
      <c r="I10" s="68" t="s">
        <v>57</v>
      </c>
      <c r="J10" s="68"/>
      <c r="K10" s="68" t="s">
        <v>249</v>
      </c>
    </row>
    <row r="11" spans="1:14" ht="19">
      <c r="A11" s="68">
        <v>4</v>
      </c>
      <c r="B11" s="68" t="s">
        <v>44</v>
      </c>
      <c r="C11" s="68" t="s">
        <v>62</v>
      </c>
      <c r="D11" s="68" t="s">
        <v>47</v>
      </c>
      <c r="E11" s="68" t="s">
        <v>48</v>
      </c>
      <c r="F11" s="68" t="s">
        <v>58</v>
      </c>
      <c r="G11" s="71" t="s">
        <v>59</v>
      </c>
      <c r="H11" s="68" t="s">
        <v>61</v>
      </c>
      <c r="I11" s="68" t="s">
        <v>57</v>
      </c>
      <c r="J11" s="68"/>
      <c r="K11" s="68" t="s">
        <v>249</v>
      </c>
    </row>
    <row r="12" spans="1:14">
      <c r="A12" s="68">
        <v>5</v>
      </c>
      <c r="B12" s="68" t="s">
        <v>44</v>
      </c>
      <c r="C12" s="68" t="s">
        <v>64</v>
      </c>
      <c r="D12" s="68" t="s">
        <v>47</v>
      </c>
      <c r="E12" s="68" t="s">
        <v>49</v>
      </c>
      <c r="F12" s="68" t="s">
        <v>49</v>
      </c>
      <c r="G12" s="68" t="s">
        <v>63</v>
      </c>
      <c r="H12" s="68" t="s">
        <v>246</v>
      </c>
      <c r="I12" s="68" t="s">
        <v>41</v>
      </c>
      <c r="J12" s="68"/>
      <c r="K12" s="68">
        <v>1</v>
      </c>
    </row>
    <row r="13" spans="1:14">
      <c r="A13" s="68">
        <v>6</v>
      </c>
      <c r="B13" s="68" t="s">
        <v>44</v>
      </c>
      <c r="C13" s="68" t="s">
        <v>67</v>
      </c>
      <c r="D13" s="68" t="s">
        <v>47</v>
      </c>
      <c r="E13" s="68" t="s">
        <v>49</v>
      </c>
      <c r="F13" s="68" t="s">
        <v>65</v>
      </c>
      <c r="G13" s="68" t="s">
        <v>66</v>
      </c>
      <c r="H13" s="68" t="s">
        <v>247</v>
      </c>
      <c r="I13" s="68" t="s">
        <v>57</v>
      </c>
      <c r="J13" s="68"/>
      <c r="K13" s="68" t="s">
        <v>249</v>
      </c>
    </row>
    <row r="14" spans="1:14">
      <c r="A14" s="68">
        <v>7</v>
      </c>
      <c r="B14" s="68" t="s">
        <v>44</v>
      </c>
      <c r="C14" s="68" t="s">
        <v>71</v>
      </c>
      <c r="D14" s="68" t="s">
        <v>47</v>
      </c>
      <c r="E14" s="68" t="s">
        <v>49</v>
      </c>
      <c r="F14" s="68" t="s">
        <v>68</v>
      </c>
      <c r="G14" s="68" t="s">
        <v>69</v>
      </c>
      <c r="H14" s="68" t="s">
        <v>70</v>
      </c>
      <c r="I14" s="68" t="s">
        <v>57</v>
      </c>
      <c r="J14" s="68"/>
      <c r="K14" s="68" t="s">
        <v>249</v>
      </c>
    </row>
    <row r="15" spans="1:14">
      <c r="A15" s="68">
        <v>8</v>
      </c>
      <c r="B15" s="68" t="s">
        <v>192</v>
      </c>
      <c r="C15" s="68" t="s">
        <v>73</v>
      </c>
      <c r="D15" s="68" t="s">
        <v>47</v>
      </c>
      <c r="E15" s="68" t="s">
        <v>78</v>
      </c>
      <c r="F15" s="68" t="s">
        <v>75</v>
      </c>
      <c r="G15" s="68" t="s">
        <v>76</v>
      </c>
      <c r="H15" s="68" t="s">
        <v>77</v>
      </c>
      <c r="I15" s="68" t="s">
        <v>41</v>
      </c>
      <c r="J15" s="68"/>
      <c r="K15" s="68">
        <v>1</v>
      </c>
    </row>
    <row r="16" spans="1:14">
      <c r="A16" s="68">
        <v>9</v>
      </c>
      <c r="B16" s="68" t="s">
        <v>192</v>
      </c>
      <c r="C16" s="68" t="s">
        <v>81</v>
      </c>
      <c r="D16" s="68" t="s">
        <v>47</v>
      </c>
      <c r="E16" s="68" t="s">
        <v>78</v>
      </c>
      <c r="F16" s="68" t="s">
        <v>79</v>
      </c>
      <c r="G16" s="68" t="s">
        <v>80</v>
      </c>
      <c r="H16" s="68"/>
      <c r="I16" s="68" t="s">
        <v>57</v>
      </c>
      <c r="J16" s="68"/>
      <c r="K16" s="68" t="s">
        <v>249</v>
      </c>
    </row>
    <row r="17" spans="1:11">
      <c r="A17" s="68">
        <v>10</v>
      </c>
      <c r="B17" s="68" t="s">
        <v>192</v>
      </c>
      <c r="C17" s="68" t="s">
        <v>82</v>
      </c>
      <c r="D17" s="68" t="s">
        <v>74</v>
      </c>
      <c r="E17" s="68" t="s">
        <v>78</v>
      </c>
      <c r="F17" s="68" t="s">
        <v>85</v>
      </c>
      <c r="G17" s="68" t="s">
        <v>86</v>
      </c>
      <c r="H17" s="68"/>
      <c r="I17" s="68" t="s">
        <v>54</v>
      </c>
      <c r="J17" s="68"/>
      <c r="K17" s="68" t="s">
        <v>249</v>
      </c>
    </row>
    <row r="18" spans="1:11">
      <c r="A18" s="68">
        <v>11</v>
      </c>
      <c r="B18" s="68" t="s">
        <v>192</v>
      </c>
      <c r="C18" s="68" t="s">
        <v>87</v>
      </c>
      <c r="D18" s="68" t="s">
        <v>47</v>
      </c>
      <c r="E18" s="68" t="s">
        <v>78</v>
      </c>
      <c r="F18" s="68" t="s">
        <v>83</v>
      </c>
      <c r="G18" s="68" t="s">
        <v>89</v>
      </c>
      <c r="H18" s="68" t="s">
        <v>84</v>
      </c>
      <c r="I18" s="68" t="s">
        <v>41</v>
      </c>
      <c r="J18" s="68"/>
      <c r="K18" s="68" t="s">
        <v>249</v>
      </c>
    </row>
    <row r="19" spans="1:11">
      <c r="A19" s="68">
        <v>12</v>
      </c>
      <c r="B19" s="68" t="s">
        <v>44</v>
      </c>
      <c r="C19" s="68" t="s">
        <v>92</v>
      </c>
      <c r="D19" s="68" t="s">
        <v>74</v>
      </c>
      <c r="E19" s="68" t="s">
        <v>88</v>
      </c>
      <c r="F19" s="68" t="s">
        <v>90</v>
      </c>
      <c r="G19" s="68" t="s">
        <v>229</v>
      </c>
      <c r="H19" s="68" t="s">
        <v>230</v>
      </c>
      <c r="I19" s="68" t="s">
        <v>41</v>
      </c>
      <c r="J19" s="68"/>
      <c r="K19" s="68">
        <v>7</v>
      </c>
    </row>
    <row r="20" spans="1:11">
      <c r="A20" s="68">
        <v>13</v>
      </c>
      <c r="B20" s="68" t="s">
        <v>44</v>
      </c>
      <c r="C20" s="68" t="s">
        <v>94</v>
      </c>
      <c r="D20" s="68" t="s">
        <v>47</v>
      </c>
      <c r="E20" s="68" t="s">
        <v>88</v>
      </c>
      <c r="F20" s="68" t="s">
        <v>93</v>
      </c>
      <c r="G20" s="68" t="s">
        <v>228</v>
      </c>
      <c r="H20" s="68"/>
      <c r="I20" s="68" t="s">
        <v>41</v>
      </c>
      <c r="J20" s="68"/>
      <c r="K20" s="68">
        <v>1</v>
      </c>
    </row>
    <row r="21" spans="1:11">
      <c r="A21" s="68">
        <v>14</v>
      </c>
      <c r="B21" s="68" t="s">
        <v>44</v>
      </c>
      <c r="C21" s="68" t="s">
        <v>98</v>
      </c>
      <c r="D21" s="68" t="s">
        <v>74</v>
      </c>
      <c r="E21" s="68" t="s">
        <v>88</v>
      </c>
      <c r="F21" s="68" t="s">
        <v>95</v>
      </c>
      <c r="G21" s="68" t="s">
        <v>97</v>
      </c>
      <c r="H21" s="68"/>
      <c r="I21" s="68" t="s">
        <v>41</v>
      </c>
      <c r="J21" s="68"/>
      <c r="K21" s="68" t="s">
        <v>249</v>
      </c>
    </row>
    <row r="22" spans="1:11">
      <c r="A22" s="68">
        <v>15</v>
      </c>
      <c r="B22" s="68" t="s">
        <v>44</v>
      </c>
      <c r="C22" s="68" t="s">
        <v>101</v>
      </c>
      <c r="D22" s="68" t="s">
        <v>47</v>
      </c>
      <c r="E22" s="68" t="s">
        <v>88</v>
      </c>
      <c r="F22" s="68" t="s">
        <v>99</v>
      </c>
      <c r="G22" s="68" t="s">
        <v>231</v>
      </c>
      <c r="H22" s="68"/>
      <c r="I22" s="68" t="s">
        <v>41</v>
      </c>
      <c r="J22" s="68"/>
      <c r="K22" s="68">
        <v>3</v>
      </c>
    </row>
    <row r="23" spans="1:11">
      <c r="A23" s="68">
        <v>16</v>
      </c>
      <c r="B23" s="68" t="s">
        <v>192</v>
      </c>
      <c r="C23" s="68" t="s">
        <v>212</v>
      </c>
      <c r="D23" s="68" t="s">
        <v>47</v>
      </c>
      <c r="E23" s="68" t="s">
        <v>78</v>
      </c>
      <c r="F23" s="68" t="s">
        <v>210</v>
      </c>
      <c r="G23" s="68" t="s">
        <v>211</v>
      </c>
      <c r="H23" s="68"/>
      <c r="I23" s="68" t="s">
        <v>57</v>
      </c>
      <c r="J23" s="68"/>
      <c r="K23" s="68">
        <v>0</v>
      </c>
    </row>
    <row r="24" spans="1:11">
      <c r="A24" s="68">
        <v>17</v>
      </c>
      <c r="B24" s="68" t="s">
        <v>213</v>
      </c>
      <c r="C24" s="68" t="s">
        <v>217</v>
      </c>
      <c r="D24" s="68" t="s">
        <v>47</v>
      </c>
      <c r="E24" s="68" t="s">
        <v>78</v>
      </c>
      <c r="F24" s="68" t="s">
        <v>214</v>
      </c>
      <c r="G24" s="68" t="s">
        <v>215</v>
      </c>
      <c r="H24" s="68" t="s">
        <v>216</v>
      </c>
      <c r="I24" s="68" t="s">
        <v>41</v>
      </c>
      <c r="J24" s="68"/>
      <c r="K24" s="68">
        <v>0</v>
      </c>
    </row>
    <row r="25" spans="1:11">
      <c r="A25" s="68">
        <v>18</v>
      </c>
      <c r="B25" s="68" t="s">
        <v>213</v>
      </c>
      <c r="C25" s="68" t="s">
        <v>220</v>
      </c>
      <c r="D25" s="68" t="s">
        <v>47</v>
      </c>
      <c r="E25" s="68" t="s">
        <v>78</v>
      </c>
      <c r="F25" s="68" t="s">
        <v>218</v>
      </c>
      <c r="G25" s="68" t="s">
        <v>219</v>
      </c>
      <c r="H25" s="68"/>
      <c r="I25" s="68" t="s">
        <v>41</v>
      </c>
      <c r="J25" s="68"/>
      <c r="K25" s="68">
        <v>0</v>
      </c>
    </row>
    <row r="26" spans="1:11">
      <c r="A26" s="68">
        <v>19</v>
      </c>
      <c r="B26" s="68" t="s">
        <v>199</v>
      </c>
      <c r="C26" s="68" t="s">
        <v>223</v>
      </c>
      <c r="D26" s="68" t="s">
        <v>47</v>
      </c>
      <c r="E26" s="68" t="s">
        <v>78</v>
      </c>
      <c r="F26" s="68" t="s">
        <v>221</v>
      </c>
      <c r="G26" s="68" t="s">
        <v>232</v>
      </c>
      <c r="H26" s="68"/>
      <c r="I26" s="68" t="s">
        <v>41</v>
      </c>
      <c r="J26" s="68"/>
      <c r="K26" s="68">
        <v>0</v>
      </c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825500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26"/>
  <sheetViews>
    <sheetView workbookViewId="0">
      <selection activeCell="K22" sqref="K22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0" t="s">
        <v>195</v>
      </c>
      <c r="B1" s="121"/>
      <c r="C1" s="121"/>
      <c r="D1" s="121"/>
      <c r="E1" s="121"/>
      <c r="F1" s="121"/>
      <c r="G1" s="121"/>
      <c r="H1" s="121"/>
      <c r="I1" s="122"/>
    </row>
    <row r="2" spans="1:11" ht="18" customHeight="1">
      <c r="A2" s="123"/>
      <c r="B2" s="124"/>
      <c r="C2" s="124"/>
      <c r="D2" s="124"/>
      <c r="E2" s="124"/>
      <c r="F2" s="124"/>
      <c r="G2" s="124"/>
      <c r="H2" s="124"/>
      <c r="I2" s="125"/>
    </row>
    <row r="3" spans="1:11" ht="18" customHeight="1">
      <c r="A3" s="123"/>
      <c r="B3" s="124"/>
      <c r="C3" s="124"/>
      <c r="D3" s="124"/>
      <c r="E3" s="124"/>
      <c r="F3" s="124"/>
      <c r="G3" s="124"/>
      <c r="H3" s="124"/>
      <c r="I3" s="125"/>
    </row>
    <row r="4" spans="1:11" ht="18" customHeight="1">
      <c r="A4" s="123"/>
      <c r="B4" s="124"/>
      <c r="C4" s="124"/>
      <c r="D4" s="124"/>
      <c r="E4" s="124"/>
      <c r="F4" s="124">
        <v>12</v>
      </c>
      <c r="G4" s="124"/>
      <c r="H4" s="124"/>
      <c r="I4" s="125"/>
    </row>
    <row r="5" spans="1:11" ht="18" customHeight="1">
      <c r="A5" s="126"/>
      <c r="B5" s="127"/>
      <c r="C5" s="127"/>
      <c r="D5" s="127"/>
      <c r="E5" s="127"/>
      <c r="F5" s="127"/>
      <c r="G5" s="127"/>
      <c r="H5" s="127"/>
      <c r="I5" s="128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248</v>
      </c>
    </row>
    <row r="8" spans="1:11">
      <c r="A8" s="72">
        <v>1</v>
      </c>
      <c r="B8" s="73" t="s">
        <v>44</v>
      </c>
      <c r="C8" s="73" t="s">
        <v>45</v>
      </c>
      <c r="D8" s="73" t="s">
        <v>47</v>
      </c>
      <c r="E8" s="73" t="s">
        <v>48</v>
      </c>
      <c r="F8" s="73" t="s">
        <v>48</v>
      </c>
      <c r="G8" s="73" t="s">
        <v>50</v>
      </c>
      <c r="H8" s="73"/>
      <c r="I8" s="73" t="s">
        <v>41</v>
      </c>
      <c r="J8" s="68"/>
      <c r="K8" s="68">
        <v>1</v>
      </c>
    </row>
    <row r="9" spans="1:11">
      <c r="A9" s="72">
        <v>2</v>
      </c>
      <c r="B9" s="73" t="s">
        <v>44</v>
      </c>
      <c r="C9" s="73" t="s">
        <v>42</v>
      </c>
      <c r="D9" s="73" t="s">
        <v>47</v>
      </c>
      <c r="E9" s="73" t="s">
        <v>48</v>
      </c>
      <c r="F9" s="73" t="s">
        <v>52</v>
      </c>
      <c r="G9" s="73" t="s">
        <v>53</v>
      </c>
      <c r="H9" s="73"/>
      <c r="I9" s="73" t="s">
        <v>54</v>
      </c>
      <c r="J9" s="68"/>
      <c r="K9" s="68" t="s">
        <v>250</v>
      </c>
    </row>
    <row r="10" spans="1:11">
      <c r="A10" s="72">
        <v>3</v>
      </c>
      <c r="B10" s="73" t="s">
        <v>44</v>
      </c>
      <c r="C10" s="73" t="s">
        <v>46</v>
      </c>
      <c r="D10" s="73" t="s">
        <v>47</v>
      </c>
      <c r="E10" s="73" t="s">
        <v>48</v>
      </c>
      <c r="F10" s="73" t="s">
        <v>55</v>
      </c>
      <c r="G10" s="73" t="s">
        <v>60</v>
      </c>
      <c r="H10" s="73" t="s">
        <v>56</v>
      </c>
      <c r="I10" s="73" t="s">
        <v>57</v>
      </c>
      <c r="J10" s="68"/>
      <c r="K10" s="68" t="s">
        <v>250</v>
      </c>
    </row>
    <row r="11" spans="1:11">
      <c r="A11" s="72">
        <v>4</v>
      </c>
      <c r="B11" s="73" t="s">
        <v>44</v>
      </c>
      <c r="C11" s="73" t="s">
        <v>62</v>
      </c>
      <c r="D11" s="73" t="s">
        <v>47</v>
      </c>
      <c r="E11" s="73" t="s">
        <v>48</v>
      </c>
      <c r="F11" s="73" t="s">
        <v>58</v>
      </c>
      <c r="G11" s="73" t="s">
        <v>59</v>
      </c>
      <c r="H11" s="73" t="s">
        <v>61</v>
      </c>
      <c r="I11" s="73" t="s">
        <v>57</v>
      </c>
      <c r="J11" s="68"/>
      <c r="K11" s="68" t="s">
        <v>250</v>
      </c>
    </row>
    <row r="12" spans="1:11" ht="38">
      <c r="A12" s="72">
        <v>5</v>
      </c>
      <c r="B12" s="73" t="s">
        <v>44</v>
      </c>
      <c r="C12" s="73" t="s">
        <v>64</v>
      </c>
      <c r="D12" s="73" t="s">
        <v>47</v>
      </c>
      <c r="E12" s="73" t="s">
        <v>49</v>
      </c>
      <c r="F12" s="73" t="s">
        <v>49</v>
      </c>
      <c r="G12" s="73" t="s">
        <v>63</v>
      </c>
      <c r="H12" s="74" t="s">
        <v>246</v>
      </c>
      <c r="I12" s="73" t="s">
        <v>41</v>
      </c>
      <c r="J12" s="68"/>
      <c r="K12" s="68">
        <v>1</v>
      </c>
    </row>
    <row r="13" spans="1:11">
      <c r="A13" s="72">
        <v>6</v>
      </c>
      <c r="B13" s="73" t="s">
        <v>44</v>
      </c>
      <c r="C13" s="73" t="s">
        <v>67</v>
      </c>
      <c r="D13" s="73" t="s">
        <v>47</v>
      </c>
      <c r="E13" s="73" t="s">
        <v>49</v>
      </c>
      <c r="F13" s="73" t="s">
        <v>65</v>
      </c>
      <c r="G13" s="73" t="s">
        <v>66</v>
      </c>
      <c r="H13" s="73" t="s">
        <v>247</v>
      </c>
      <c r="I13" s="73" t="s">
        <v>57</v>
      </c>
      <c r="J13" s="68"/>
      <c r="K13" s="68" t="s">
        <v>250</v>
      </c>
    </row>
    <row r="14" spans="1:11">
      <c r="A14" s="72">
        <v>7</v>
      </c>
      <c r="B14" s="73" t="s">
        <v>44</v>
      </c>
      <c r="C14" s="73" t="s">
        <v>71</v>
      </c>
      <c r="D14" s="73" t="s">
        <v>47</v>
      </c>
      <c r="E14" s="73" t="s">
        <v>49</v>
      </c>
      <c r="F14" s="73" t="s">
        <v>68</v>
      </c>
      <c r="G14" s="73" t="s">
        <v>69</v>
      </c>
      <c r="H14" s="73" t="s">
        <v>70</v>
      </c>
      <c r="I14" s="73" t="s">
        <v>57</v>
      </c>
      <c r="J14" s="68"/>
      <c r="K14" s="68" t="s">
        <v>250</v>
      </c>
    </row>
    <row r="15" spans="1:11">
      <c r="A15" s="72">
        <v>8</v>
      </c>
      <c r="B15" s="73" t="s">
        <v>192</v>
      </c>
      <c r="C15" s="73" t="s">
        <v>73</v>
      </c>
      <c r="D15" s="73" t="s">
        <v>47</v>
      </c>
      <c r="E15" s="73" t="s">
        <v>78</v>
      </c>
      <c r="F15" s="73" t="s">
        <v>75</v>
      </c>
      <c r="G15" s="73" t="s">
        <v>76</v>
      </c>
      <c r="H15" s="73" t="s">
        <v>77</v>
      </c>
      <c r="I15" s="73" t="s">
        <v>41</v>
      </c>
      <c r="J15" s="68"/>
      <c r="K15" s="68">
        <v>1</v>
      </c>
    </row>
    <row r="16" spans="1:11">
      <c r="A16" s="72">
        <v>9</v>
      </c>
      <c r="B16" s="72" t="s">
        <v>25</v>
      </c>
      <c r="C16" s="72" t="s">
        <v>81</v>
      </c>
      <c r="D16" s="72" t="s">
        <v>47</v>
      </c>
      <c r="E16" s="72" t="s">
        <v>78</v>
      </c>
      <c r="F16" s="72" t="s">
        <v>79</v>
      </c>
      <c r="G16" s="72" t="s">
        <v>80</v>
      </c>
      <c r="H16" s="72"/>
      <c r="I16" s="72" t="s">
        <v>57</v>
      </c>
      <c r="J16" s="68"/>
      <c r="K16" s="68" t="s">
        <v>250</v>
      </c>
    </row>
    <row r="17" spans="1:11">
      <c r="A17" s="72">
        <v>10</v>
      </c>
      <c r="B17" s="72" t="s">
        <v>25</v>
      </c>
      <c r="C17" s="72" t="s">
        <v>82</v>
      </c>
      <c r="D17" s="72" t="s">
        <v>74</v>
      </c>
      <c r="E17" s="72" t="s">
        <v>78</v>
      </c>
      <c r="F17" s="72" t="s">
        <v>85</v>
      </c>
      <c r="G17" s="72" t="s">
        <v>86</v>
      </c>
      <c r="H17" s="72"/>
      <c r="I17" s="72" t="s">
        <v>54</v>
      </c>
      <c r="J17" s="68"/>
      <c r="K17" s="68" t="s">
        <v>250</v>
      </c>
    </row>
    <row r="18" spans="1:11">
      <c r="A18" s="72">
        <v>11</v>
      </c>
      <c r="B18" s="72" t="s">
        <v>25</v>
      </c>
      <c r="C18" s="72" t="s">
        <v>87</v>
      </c>
      <c r="D18" s="72" t="s">
        <v>47</v>
      </c>
      <c r="E18" s="72" t="s">
        <v>78</v>
      </c>
      <c r="F18" s="72" t="s">
        <v>83</v>
      </c>
      <c r="G18" s="72" t="s">
        <v>226</v>
      </c>
      <c r="H18" s="72" t="s">
        <v>84</v>
      </c>
      <c r="I18" s="72" t="s">
        <v>43</v>
      </c>
      <c r="J18" s="68"/>
      <c r="K18" s="68" t="s">
        <v>250</v>
      </c>
    </row>
    <row r="19" spans="1:11" ht="38">
      <c r="A19" s="72">
        <v>12</v>
      </c>
      <c r="B19" s="72" t="s">
        <v>13</v>
      </c>
      <c r="C19" s="72" t="s">
        <v>92</v>
      </c>
      <c r="D19" s="72" t="s">
        <v>14</v>
      </c>
      <c r="E19" s="72" t="s">
        <v>88</v>
      </c>
      <c r="F19" s="72" t="s">
        <v>90</v>
      </c>
      <c r="G19" s="75" t="s">
        <v>100</v>
      </c>
      <c r="H19" s="72" t="s">
        <v>91</v>
      </c>
      <c r="I19" s="72" t="s">
        <v>43</v>
      </c>
      <c r="J19" s="76"/>
      <c r="K19" s="68">
        <v>7</v>
      </c>
    </row>
    <row r="20" spans="1:11">
      <c r="A20" s="72">
        <v>13</v>
      </c>
      <c r="B20" s="72" t="s">
        <v>13</v>
      </c>
      <c r="C20" s="72" t="s">
        <v>94</v>
      </c>
      <c r="D20" s="72" t="s">
        <v>47</v>
      </c>
      <c r="E20" s="72" t="s">
        <v>88</v>
      </c>
      <c r="F20" s="72" t="s">
        <v>93</v>
      </c>
      <c r="G20" s="72" t="s">
        <v>96</v>
      </c>
      <c r="H20" s="72"/>
      <c r="I20" s="72" t="s">
        <v>43</v>
      </c>
      <c r="J20" s="76"/>
      <c r="K20" s="68">
        <v>1</v>
      </c>
    </row>
    <row r="21" spans="1:11">
      <c r="A21" s="72">
        <v>14</v>
      </c>
      <c r="B21" s="72" t="s">
        <v>44</v>
      </c>
      <c r="C21" s="72" t="s">
        <v>98</v>
      </c>
      <c r="D21" s="72" t="s">
        <v>74</v>
      </c>
      <c r="E21" s="72" t="s">
        <v>88</v>
      </c>
      <c r="F21" s="72" t="s">
        <v>95</v>
      </c>
      <c r="G21" s="72" t="s">
        <v>97</v>
      </c>
      <c r="H21" s="77"/>
      <c r="I21" s="72" t="s">
        <v>43</v>
      </c>
      <c r="J21" s="76"/>
      <c r="K21" s="68" t="s">
        <v>250</v>
      </c>
    </row>
    <row r="22" spans="1:11">
      <c r="A22" s="72">
        <v>15</v>
      </c>
      <c r="B22" s="72" t="s">
        <v>13</v>
      </c>
      <c r="C22" s="72" t="s">
        <v>101</v>
      </c>
      <c r="D22" s="72" t="s">
        <v>47</v>
      </c>
      <c r="E22" s="72" t="s">
        <v>88</v>
      </c>
      <c r="F22" s="72" t="s">
        <v>99</v>
      </c>
      <c r="G22" s="72" t="s">
        <v>227</v>
      </c>
      <c r="H22" s="72"/>
      <c r="I22" s="72" t="s">
        <v>41</v>
      </c>
      <c r="J22" s="76"/>
      <c r="K22" s="68">
        <v>3</v>
      </c>
    </row>
    <row r="23" spans="1:11">
      <c r="A23" s="72">
        <v>16</v>
      </c>
      <c r="B23" s="72" t="s">
        <v>192</v>
      </c>
      <c r="C23" s="72" t="s">
        <v>212</v>
      </c>
      <c r="D23" s="72" t="s">
        <v>47</v>
      </c>
      <c r="E23" s="72" t="s">
        <v>16</v>
      </c>
      <c r="F23" s="72" t="s">
        <v>210</v>
      </c>
      <c r="G23" s="72" t="s">
        <v>211</v>
      </c>
      <c r="H23" s="72"/>
      <c r="I23" s="72" t="s">
        <v>57</v>
      </c>
      <c r="J23" s="76"/>
      <c r="K23" s="68">
        <v>0</v>
      </c>
    </row>
    <row r="24" spans="1:11">
      <c r="A24" s="72">
        <v>17</v>
      </c>
      <c r="B24" s="72" t="s">
        <v>213</v>
      </c>
      <c r="C24" s="72" t="s">
        <v>217</v>
      </c>
      <c r="D24" s="72" t="s">
        <v>47</v>
      </c>
      <c r="E24" s="72" t="s">
        <v>78</v>
      </c>
      <c r="F24" s="72" t="s">
        <v>214</v>
      </c>
      <c r="G24" s="72" t="s">
        <v>215</v>
      </c>
      <c r="H24" s="72" t="s">
        <v>216</v>
      </c>
      <c r="I24" s="72" t="s">
        <v>43</v>
      </c>
      <c r="J24" s="76"/>
      <c r="K24" s="68">
        <v>0</v>
      </c>
    </row>
    <row r="25" spans="1:11">
      <c r="A25" s="72">
        <v>18</v>
      </c>
      <c r="B25" s="72" t="s">
        <v>213</v>
      </c>
      <c r="C25" s="72" t="s">
        <v>220</v>
      </c>
      <c r="D25" s="72" t="s">
        <v>47</v>
      </c>
      <c r="E25" s="72" t="s">
        <v>78</v>
      </c>
      <c r="F25" s="72" t="s">
        <v>218</v>
      </c>
      <c r="G25" s="72" t="s">
        <v>219</v>
      </c>
      <c r="H25" s="72"/>
      <c r="I25" s="72" t="s">
        <v>41</v>
      </c>
      <c r="J25" s="76"/>
      <c r="K25" s="68">
        <v>0</v>
      </c>
    </row>
    <row r="26" spans="1:11">
      <c r="A26" s="72">
        <v>19</v>
      </c>
      <c r="B26" s="72" t="s">
        <v>199</v>
      </c>
      <c r="C26" s="72" t="s">
        <v>223</v>
      </c>
      <c r="D26" s="72" t="s">
        <v>47</v>
      </c>
      <c r="E26" s="72" t="s">
        <v>78</v>
      </c>
      <c r="F26" s="72" t="s">
        <v>221</v>
      </c>
      <c r="G26" s="72" t="s">
        <v>224</v>
      </c>
      <c r="H26" s="72"/>
      <c r="I26" s="72" t="s">
        <v>41</v>
      </c>
      <c r="J26" s="76"/>
      <c r="K26" s="68">
        <v>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K8" sqref="K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0" t="s">
        <v>196</v>
      </c>
      <c r="B1" s="121"/>
      <c r="C1" s="121"/>
      <c r="D1" s="121"/>
      <c r="E1" s="121"/>
      <c r="F1" s="121"/>
      <c r="G1" s="121"/>
      <c r="H1" s="121"/>
      <c r="I1" s="122"/>
    </row>
    <row r="2" spans="1:11" ht="18" customHeight="1">
      <c r="A2" s="123"/>
      <c r="B2" s="124"/>
      <c r="C2" s="124"/>
      <c r="D2" s="124"/>
      <c r="E2" s="124"/>
      <c r="F2" s="124"/>
      <c r="G2" s="124"/>
      <c r="H2" s="124"/>
      <c r="I2" s="125"/>
    </row>
    <row r="3" spans="1:11" ht="18" customHeight="1">
      <c r="A3" s="123"/>
      <c r="B3" s="124"/>
      <c r="C3" s="124"/>
      <c r="D3" s="124"/>
      <c r="E3" s="124"/>
      <c r="F3" s="124"/>
      <c r="G3" s="124"/>
      <c r="H3" s="124"/>
      <c r="I3" s="125"/>
    </row>
    <row r="4" spans="1:11" ht="18" customHeight="1">
      <c r="A4" s="123"/>
      <c r="B4" s="124"/>
      <c r="C4" s="124"/>
      <c r="D4" s="124"/>
      <c r="E4" s="124"/>
      <c r="F4" s="124">
        <v>12</v>
      </c>
      <c r="G4" s="124"/>
      <c r="H4" s="124"/>
      <c r="I4" s="125"/>
    </row>
    <row r="5" spans="1:11" ht="18" customHeight="1">
      <c r="A5" s="126"/>
      <c r="B5" s="127"/>
      <c r="C5" s="127"/>
      <c r="D5" s="127"/>
      <c r="E5" s="127"/>
      <c r="F5" s="127"/>
      <c r="G5" s="127"/>
      <c r="H5" s="127"/>
      <c r="I5" s="128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248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8"/>
  <sheetViews>
    <sheetView workbookViewId="0">
      <selection activeCell="K7" sqref="K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20" t="s">
        <v>197</v>
      </c>
      <c r="B1" s="121"/>
      <c r="C1" s="121"/>
      <c r="D1" s="121"/>
      <c r="E1" s="121"/>
      <c r="F1" s="121"/>
      <c r="G1" s="121"/>
      <c r="H1" s="121"/>
      <c r="I1" s="122"/>
    </row>
    <row r="2" spans="1:11" ht="18" customHeight="1">
      <c r="A2" s="123"/>
      <c r="B2" s="124"/>
      <c r="C2" s="124"/>
      <c r="D2" s="124"/>
      <c r="E2" s="124"/>
      <c r="F2" s="124"/>
      <c r="G2" s="124"/>
      <c r="H2" s="124"/>
      <c r="I2" s="125"/>
    </row>
    <row r="3" spans="1:11" ht="18" customHeight="1">
      <c r="A3" s="123"/>
      <c r="B3" s="124"/>
      <c r="C3" s="124"/>
      <c r="D3" s="124"/>
      <c r="E3" s="124"/>
      <c r="F3" s="124"/>
      <c r="G3" s="124"/>
      <c r="H3" s="124"/>
      <c r="I3" s="125"/>
    </row>
    <row r="4" spans="1:11" ht="18" customHeight="1">
      <c r="A4" s="123"/>
      <c r="B4" s="124"/>
      <c r="C4" s="124"/>
      <c r="D4" s="124"/>
      <c r="E4" s="124"/>
      <c r="F4" s="124">
        <v>12</v>
      </c>
      <c r="G4" s="124"/>
      <c r="H4" s="124"/>
      <c r="I4" s="125"/>
    </row>
    <row r="5" spans="1:11" ht="18" customHeight="1">
      <c r="A5" s="126"/>
      <c r="B5" s="127"/>
      <c r="C5" s="127"/>
      <c r="D5" s="127"/>
      <c r="E5" s="127"/>
      <c r="F5" s="127"/>
      <c r="G5" s="127"/>
      <c r="H5" s="127"/>
      <c r="I5" s="128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</row>
    <row r="8" spans="1:11">
      <c r="J8" s="51"/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K8" sqref="K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0" t="s">
        <v>198</v>
      </c>
      <c r="B1" s="121"/>
      <c r="C1" s="121"/>
      <c r="D1" s="121"/>
      <c r="E1" s="121"/>
      <c r="F1" s="121"/>
      <c r="G1" s="121"/>
      <c r="H1" s="121"/>
      <c r="I1" s="122"/>
    </row>
    <row r="2" spans="1:11" ht="18" customHeight="1">
      <c r="A2" s="123"/>
      <c r="B2" s="124"/>
      <c r="C2" s="124"/>
      <c r="D2" s="124"/>
      <c r="E2" s="124"/>
      <c r="F2" s="124"/>
      <c r="G2" s="124"/>
      <c r="H2" s="124"/>
      <c r="I2" s="125"/>
    </row>
    <row r="3" spans="1:11" ht="18" customHeight="1">
      <c r="A3" s="123"/>
      <c r="B3" s="124"/>
      <c r="C3" s="124"/>
      <c r="D3" s="124"/>
      <c r="E3" s="124"/>
      <c r="F3" s="124"/>
      <c r="G3" s="124"/>
      <c r="H3" s="124"/>
      <c r="I3" s="125"/>
    </row>
    <row r="4" spans="1:11" ht="18" customHeight="1">
      <c r="A4" s="123"/>
      <c r="B4" s="124"/>
      <c r="C4" s="124"/>
      <c r="D4" s="124"/>
      <c r="E4" s="124"/>
      <c r="F4" s="124">
        <v>12</v>
      </c>
      <c r="G4" s="124"/>
      <c r="H4" s="124"/>
      <c r="I4" s="125"/>
    </row>
    <row r="5" spans="1:11" ht="18" customHeight="1">
      <c r="A5" s="126"/>
      <c r="B5" s="127"/>
      <c r="C5" s="127"/>
      <c r="D5" s="127"/>
      <c r="E5" s="127"/>
      <c r="F5" s="127"/>
      <c r="G5" s="127"/>
      <c r="H5" s="127"/>
      <c r="I5" s="128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248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2022-01-12T08:16:44Z</dcterms:modified>
</cp:coreProperties>
</file>